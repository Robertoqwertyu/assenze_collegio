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endario" sheetId="1" state="visible" r:id="rId3"/>
    <sheet name="Riepilogo" sheetId="2" state="visible" r:id="rId4"/>
    <sheet name="Mesi" sheetId="3" state="visible" r:id="rId5"/>
    <sheet name="Elenco" sheetId="4" state="visible" r:id="rId6"/>
    <sheet name="Impostazioni" sheetId="5" state="visible" r:id="rId7"/>
    <sheet name="Giorni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<sst xmlns="http://schemas.openxmlformats.org/spreadsheetml/2006/main" count="223" uniqueCount="134">
  <si>
    <t xml:space="preserve">ASSENZE COLLEGIO</t>
  </si>
  <si>
    <t xml:space="preserve">ASSENZE RIMANENTI</t>
  </si>
  <si>
    <t xml:space="preserve">MENSILI RIMANENTI</t>
  </si>
  <si>
    <t xml:space="preserve">PRESENZA A FINE ANNO</t>
  </si>
  <si>
    <t xml:space="preserve">Ogni giorno è già presenza: segna solo le assenze. Tocca la cella sotto la data e scegli A, G o P.</t>
  </si>
  <si>
    <t xml:space="preserve">A</t>
  </si>
  <si>
    <t xml:space="preserve">G</t>
  </si>
  <si>
    <t xml:space="preserve">P</t>
  </si>
  <si>
    <t xml:space="preserve">festa / chiuso</t>
  </si>
  <si>
    <t xml:space="preserve">A assenza · G giustificata (conta come presenza) · P presente (annulla un'assenza) · verde = presenza</t>
  </si>
  <si>
    <t xml:space="preserve">L</t>
  </si>
  <si>
    <t xml:space="preserve">M</t>
  </si>
  <si>
    <t xml:space="preserve">V</t>
  </si>
  <si>
    <t xml:space="preserve">S</t>
  </si>
  <si>
    <t xml:space="preserve">D</t>
  </si>
  <si>
    <t xml:space="preserve">RIEPILOGO</t>
  </si>
  <si>
    <t xml:space="preserve">PERIODO E BASE DI CALCOLO</t>
  </si>
  <si>
    <t xml:space="preserve">Inizio periodo</t>
  </si>
  <si>
    <t xml:space="preserve">Fine periodo</t>
  </si>
  <si>
    <t xml:space="preserve">Data usata nei calcoli</t>
  </si>
  <si>
    <t xml:space="preserve">Oggi, salvo data di riferimento in Impostazioni</t>
  </si>
  <si>
    <t xml:space="preserve">Giorni di calendario del periodo</t>
  </si>
  <si>
    <t xml:space="preserve">Giorni esclusi (festività e chiusure)</t>
  </si>
  <si>
    <t xml:space="preserve">Unione senza doppi conteggi</t>
  </si>
  <si>
    <t xml:space="preserve">Giorni validi (base del 56%)</t>
  </si>
  <si>
    <t xml:space="preserve">Weekend inclusi</t>
  </si>
  <si>
    <t xml:space="preserve">Soglia minima di presenza</t>
  </si>
  <si>
    <t xml:space="preserve">Presenze minime richieste</t>
  </si>
  <si>
    <t xml:space="preserve">Arrotondato per eccesso</t>
  </si>
  <si>
    <t xml:space="preserve">Assenze massime consentite</t>
  </si>
  <si>
    <t xml:space="preserve">STATO ATTUALE</t>
  </si>
  <si>
    <t xml:space="preserve">Assenze usate (non giustificate)</t>
  </si>
  <si>
    <t xml:space="preserve">Assenze giustificate (valgono come presenza)</t>
  </si>
  <si>
    <t xml:space="preserve">Non riducono le assenze rimanenti</t>
  </si>
  <si>
    <t xml:space="preserve">ASSENZE RIMANENTI TOTALI</t>
  </si>
  <si>
    <t xml:space="preserve">Negativo = soglia superata</t>
  </si>
  <si>
    <t xml:space="preserve">Giorni validi rimanenti (da oggi incluso)</t>
  </si>
  <si>
    <t xml:space="preserve">Giorni validi trascorsi</t>
  </si>
  <si>
    <t xml:space="preserve">Assenze usate nei giorni trascorsi</t>
  </si>
  <si>
    <t xml:space="preserve">Presenze finora</t>
  </si>
  <si>
    <t xml:space="preserve">Ogni giorno valido trascorso senza assenza</t>
  </si>
  <si>
    <t xml:space="preserve">% presenza finora</t>
  </si>
  <si>
    <t xml:space="preserve">Sui giorni validi trascorsi</t>
  </si>
  <si>
    <t xml:space="preserve">Presenze a fine periodo (se da oggi sempre presente)</t>
  </si>
  <si>
    <t xml:space="preserve">Da confrontare con le presenze minime</t>
  </si>
  <si>
    <t xml:space="preserve">% presenza a fine periodo (se da oggi sempre presente)</t>
  </si>
  <si>
    <t xml:space="preserve">Da confrontare con la soglia</t>
  </si>
  <si>
    <t xml:space="preserve">Margine sulla soglia (punti percentuali)</t>
  </si>
  <si>
    <t xml:space="preserve">Positivo = sopra la soglia</t>
  </si>
  <si>
    <t xml:space="preserve">PROIEZIONE MENSILE</t>
  </si>
  <si>
    <t xml:space="preserve">Mesi rimanenti (con frazioni)</t>
  </si>
  <si>
    <t xml:space="preserve">Frazione del mese corrente + mesi interi successivi</t>
  </si>
  <si>
    <t xml:space="preserve">ASSENZE MENSILI RIMANENTI</t>
  </si>
  <si>
    <t xml:space="preserve">Assenze rimanenti ÷ mesi rimanenti</t>
  </si>
  <si>
    <t xml:space="preserve">Base della frazione di mese</t>
  </si>
  <si>
    <t xml:space="preserve">Modificabile in Impostazioni</t>
  </si>
  <si>
    <t xml:space="preserve">DETTAGLIO MENSILE</t>
  </si>
  <si>
    <t xml:space="preserve">Presenze = giorni validi − assenze (le giustificate valgono come presenza). Peso residuo = parte del mese ancora da vivere (serve per la proiezione mensile).</t>
  </si>
  <si>
    <t xml:space="preserve">Mese</t>
  </si>
  <si>
    <t xml:space="preserve">Giorni validi</t>
  </si>
  <si>
    <t xml:space="preserve">Assenze</t>
  </si>
  <si>
    <t xml:space="preserve">Giustificate</t>
  </si>
  <si>
    <t xml:space="preserve">Presenze</t>
  </si>
  <si>
    <t xml:space="preserve">% presenza</t>
  </si>
  <si>
    <t xml:space="preserve">Peso residuo</t>
  </si>
  <si>
    <t xml:space="preserve">TOTALE</t>
  </si>
  <si>
    <t xml:space="preserve">ELENCO DELLE ASSENZE SEGNATE</t>
  </si>
  <si>
    <t xml:space="preserve">Compilato in automatico dal Calendario, in ordine di data: serve per confrontare le assenze con il registro del badge elettronico.</t>
  </si>
  <si>
    <t xml:space="preserve">N°</t>
  </si>
  <si>
    <t xml:space="preserve">Data</t>
  </si>
  <si>
    <t xml:space="preserve">Giorno</t>
  </si>
  <si>
    <t xml:space="preserve">Tipo</t>
  </si>
  <si>
    <t xml:space="preserve">Conta?</t>
  </si>
  <si>
    <t xml:space="preserve">Nota</t>
  </si>
  <si>
    <t xml:space="preserve">IMPOSTAZIONI</t>
  </si>
  <si>
    <t xml:space="preserve">Testo blu su fondo giallo = cella modificabile. Tutto il resto si calcola da solo.</t>
  </si>
  <si>
    <t xml:space="preserve">PARAMETRI</t>
  </si>
  <si>
    <t xml:space="preserve">Data di ingresso (inizio periodo)</t>
  </si>
  <si>
    <t xml:space="preserve">Provvisoria: 1 ottobre 2026. Cambiala quando conosci il giorno di ingresso.</t>
  </si>
  <si>
    <t xml:space="preserve">Fine settembre 2027.</t>
  </si>
  <si>
    <t xml:space="preserve">Regolamento: almeno il 56% di pernottamenti su base annuale.</t>
  </si>
  <si>
    <t xml:space="preserve">Data di riferimento (vuoto = oggi)</t>
  </si>
  <si>
    <t xml:space="preserve">Facoltativa: scrivi una data per simulare la situazione a quel giorno. Nell'uso normale lasciala vuota.</t>
  </si>
  <si>
    <t xml:space="preserve">Calcolata: oggi, oppure la data di riferimento se compilata.</t>
  </si>
  <si>
    <t xml:space="preserve">'Giorni validi' (esclude festività e chiusure) oppure 'Giorni di calendario' (come il vecchio Excel).</t>
  </si>
  <si>
    <t xml:space="preserve">Avviso quando le assenze rimanenti sono ≤</t>
  </si>
  <si>
    <t xml:space="preserve">Scelta mia: soglia a cui compare l'avviso 'ATTENZIONE' nel Calendario.</t>
  </si>
  <si>
    <t xml:space="preserve">Primo mese mostrato nel Calendario</t>
  </si>
  <si>
    <t xml:space="preserve">Calcolato: i 12 mesi del Calendario terminano col mese di fine periodo.</t>
  </si>
  <si>
    <t xml:space="preserve">Controllo dei dati inseriti</t>
  </si>
  <si>
    <t xml:space="preserve">Deve dire OK. Altrimenti il Calendario mostra 'VERIFICA IMPOSTAZIONI'.</t>
  </si>
  <si>
    <t xml:space="preserve">CHIUSURE DELLA RESIDENZA (giorni esclusi dal calcolo)</t>
  </si>
  <si>
    <t xml:space="preserve">Dal</t>
  </si>
  <si>
    <t xml:space="preserve">Al</t>
  </si>
  <si>
    <t xml:space="preserve">Descrizione</t>
  </si>
  <si>
    <t xml:space="preserve">Chiusura natalizia - DATE PROVVISORIE, modificale</t>
  </si>
  <si>
    <t xml:space="preserve">Agosto (stanza liberata entro il 31 luglio, rientro dal 1 settembre)</t>
  </si>
  <si>
    <t xml:space="preserve">FESTIVITÀ (giorni esclusi dal calcolo)</t>
  </si>
  <si>
    <t xml:space="preserve">Ognissanti</t>
  </si>
  <si>
    <t xml:space="preserve">Immacolata Concezione</t>
  </si>
  <si>
    <t xml:space="preserve">Natale</t>
  </si>
  <si>
    <t xml:space="preserve">Santo Stefano</t>
  </si>
  <si>
    <t xml:space="preserve">Capodanno</t>
  </si>
  <si>
    <t xml:space="preserve">Epifania</t>
  </si>
  <si>
    <t xml:space="preserve">Pasqua</t>
  </si>
  <si>
    <t xml:space="preserve">Lunedì dell'Angelo (Pasquetta)</t>
  </si>
  <si>
    <t xml:space="preserve">Festa della Liberazione</t>
  </si>
  <si>
    <t xml:space="preserve">Festa del Lavoro</t>
  </si>
  <si>
    <t xml:space="preserve">Festa della Repubblica</t>
  </si>
  <si>
    <t xml:space="preserve">Ferragosto</t>
  </si>
  <si>
    <t xml:space="preserve">COME FUNZIONA E IPOTESI DI CALCOLO</t>
  </si>
  <si>
    <t xml:space="preserve">• Ogni giorno valido è una presenza per impostazione predefinita: nel Calendario si segnano solo le assenze (A) e le giustificate (G).</t>
  </si>
  <si>
    <t xml:space="preserve">• Per annullare un'assenza scegli P (presente) dalla tendina, oppure cancella la cella.</t>
  </si>
  <si>
    <t xml:space="preserve">• Giorni validi = giorni del periodo − festività − chiusure (un giorno in entrambe si toglie una volta sola). Sabato e domenica sono validi.</t>
  </si>
  <si>
    <t xml:space="preserve">• Presenze minime = 56% dei giorni validi, arrotondato per eccesso. Assenze massime = giorni validi − presenze minime.</t>
  </si>
  <si>
    <t xml:space="preserve">• Le assenze giustificate (G) contano come presenza e non riducono le assenze rimanenti.</t>
  </si>
  <si>
    <t xml:space="preserve">• Un'assenza segnata in un giorno festivo, di chiusura o fuori periodo non viene conteggiata (il foglio Elenco lo indica).</t>
  </si>
  <si>
    <t xml:space="preserve">• Festività: calendario nazionale italiano, con Pasqua e Pasquetta. San Nicola (6 maggio) non inclusa.</t>
  </si>
  <si>
    <t xml:space="preserve">• Chiusura natalizia 23/12–06/01: date provvisorie, le date esatte non sono ancora note.</t>
  </si>
  <si>
    <t xml:space="preserve">• Assenze mensili rimanenti = assenze rimanenti ÷ (frazione del mese corrente ancora da vivere + mesi interi successivi), come nel vecchio Excel.</t>
  </si>
  <si>
    <t xml:space="preserve">• I fogli sono protetti senza password per evitare cancellazioni accidentali: Revisione &gt; Rimuovi protezione foglio, se serve modificarli.</t>
  </si>
  <si>
    <t xml:space="preserve">In periodo</t>
  </si>
  <si>
    <t xml:space="preserve">Festivo</t>
  </si>
  <si>
    <t xml:space="preserve">Chiuso</t>
  </si>
  <si>
    <t xml:space="preserve">Valido</t>
  </si>
  <si>
    <t xml:space="preserve">Blocco</t>
  </si>
  <si>
    <t xml:space="preserve">Settimana</t>
  </si>
  <si>
    <t xml:space="preserve">Stato</t>
  </si>
  <si>
    <t xml:space="preserve">Assenza (conta)</t>
  </si>
  <si>
    <t xml:space="preserve">Giustificata</t>
  </si>
  <si>
    <t xml:space="preserve">Valido da oggi</t>
  </si>
  <si>
    <t xml:space="preserve">Classe</t>
  </si>
  <si>
    <t xml:space="preserve">N° segnata</t>
  </si>
  <si>
    <t xml:space="preserve">Foglio di calcolo: non modificare. Una riga per data; lo Stato è letto dal Calendario.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</si>
</sst>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dd/mm/yyyy"/>
    <numFmt numFmtId="166" formatCode="0"/>
    <numFmt numFmtId="167" formatCode="0.00"/>
    <numFmt numFmtId="168" formatCode="0.0%"/>
    <numFmt numFmtId="169" formatCode="d"/>
    <numFmt numFmtId="170" formatCode="General"/>
    <numFmt numFmtId="171" formatCode="0%"/>
    <numFmt numFmtId="172" formatCode="mm/yyyy"/>
  </numFmts>
  <fonts count="3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sz val="9"/>
      <color rgb="FFFFFFFF"/>
      <name val="Arial"/>
      <family val="0"/>
      <charset val="1"/>
    </font>
    <font>
      <b val="true"/>
      <sz val="8"/>
      <color rgb="FF595959"/>
      <name val="Arial"/>
      <family val="0"/>
      <charset val="1"/>
    </font>
    <font>
      <b val="true"/>
      <sz val="22"/>
      <color rgb="FF1B7F55"/>
      <name val="Arial"/>
      <family val="0"/>
      <charset val="1"/>
    </font>
    <font>
      <b val="true"/>
      <sz val="22"/>
      <color rgb="FF1F3A5F"/>
      <name val="Arial"/>
      <family val="0"/>
      <charset val="1"/>
    </font>
    <font>
      <b val="true"/>
      <sz val="22"/>
      <color rgb="FF9A6200"/>
      <name val="Arial"/>
      <family val="0"/>
      <charset val="1"/>
    </font>
    <font>
      <sz val="9"/>
      <color rgb="FF40404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11"/>
      <color rgb="FF4A2F00"/>
      <name val="Arial"/>
      <family val="0"/>
      <charset val="1"/>
    </font>
    <font>
      <b val="true"/>
      <sz val="11"/>
      <color rgb="FF1B7F55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7"/>
      <color rgb="FF7F7F7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u val="single"/>
      <sz val="8"/>
      <color rgb="FF2F6DB5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9"/>
      <color rgb="FF1F3A5F"/>
      <name val="Arial"/>
      <family val="0"/>
      <charset val="1"/>
    </font>
    <font>
      <b val="true"/>
      <sz val="9"/>
      <color rgb="FF9A6200"/>
      <name val="Arial"/>
      <family val="0"/>
      <charset val="1"/>
    </font>
    <font>
      <sz val="8"/>
      <color rgb="FF555555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sz val="10"/>
      <color rgb="FF222222"/>
      <name val="Arial"/>
      <family val="0"/>
      <charset val="1"/>
    </font>
    <font>
      <b val="true"/>
      <sz val="11"/>
      <color rgb="FF1F3A5F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0"/>
      <color rgb="FF222222"/>
      <name val="Arial"/>
      <family val="0"/>
      <charset val="1"/>
    </font>
    <font>
      <b val="true"/>
      <sz val="14"/>
      <color rgb="FF1B7F55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1F3A5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FF"/>
      <name val="Arial"/>
      <family val="0"/>
      <charset val="1"/>
    </font>
    <font>
      <i val="true"/>
      <sz val="9"/>
      <color rgb="FFC00000"/>
      <name val="Arial"/>
      <family val="0"/>
      <charset val="1"/>
    </font>
    <font>
      <sz val="9"/>
      <color rgb="FF222222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2F6DB5"/>
        <bgColor rgb="FF0066CC"/>
      </patternFill>
    </fill>
    <fill>
      <patternFill patternType="solid">
        <fgColor rgb="FFE8F4EC"/>
        <bgColor rgb="FFE1F3E8"/>
      </patternFill>
    </fill>
    <fill>
      <patternFill patternType="solid">
        <fgColor rgb="FFEAF0F8"/>
        <bgColor rgb="FFEFEFEF"/>
      </patternFill>
    </fill>
    <fill>
      <patternFill patternType="solid">
        <fgColor rgb="FFFFF4DD"/>
        <bgColor rgb="FFFFF8DC"/>
      </patternFill>
    </fill>
    <fill>
      <patternFill patternType="solid">
        <fgColor rgb="FFF7F9FC"/>
        <bgColor rgb="FFFFFFFF"/>
      </patternFill>
    </fill>
    <fill>
      <patternFill patternType="solid">
        <fgColor rgb="FF2E9E6B"/>
        <bgColor rgb="FF1B7F55"/>
      </patternFill>
    </fill>
    <fill>
      <patternFill patternType="solid">
        <fgColor rgb="FFD64545"/>
        <bgColor rgb="FFC0392B"/>
      </patternFill>
    </fill>
    <fill>
      <patternFill patternType="solid">
        <fgColor rgb="FFF5B942"/>
        <bgColor rgb="FFF0A93B"/>
      </patternFill>
    </fill>
    <fill>
      <patternFill patternType="solid">
        <fgColor rgb="FFE1F3E8"/>
        <bgColor rgb="FFE8F4EC"/>
      </patternFill>
    </fill>
    <fill>
      <patternFill patternType="solid">
        <fgColor rgb="FF3E4C63"/>
        <bgColor rgb="FF404040"/>
      </patternFill>
    </fill>
    <fill>
      <patternFill patternType="solid">
        <fgColor rgb="FFFFF8DC"/>
        <bgColor rgb="FFFFF4DD"/>
      </patternFill>
    </fill>
    <fill>
      <patternFill patternType="solid">
        <fgColor rgb="FFF2F2F2"/>
        <bgColor rgb="FFEFEFEF"/>
      </patternFill>
    </fill>
    <fill>
      <patternFill patternType="solid">
        <fgColor rgb="FF7F7F7F"/>
        <bgColor rgb="FF87878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E3EC"/>
      </left>
      <right style="thin">
        <color rgb="FFDDE3EC"/>
      </right>
      <top style="thin">
        <color rgb="FFDDE3EC"/>
      </top>
      <bottom style="thin">
        <color rgb="FFDDE3E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1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9" fontId="22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center" vertical="center" textRotation="0" wrapText="true" indent="0" shrinkToFit="false"/>
      <protection locked="false" hidden="false"/>
    </xf>
    <xf numFmtId="164" fontId="23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1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4" fillId="0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5" fontId="2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6" fontId="2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4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6" fontId="2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8" fontId="2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70" fontId="2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7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70" fontId="2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70" fontId="3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3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3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2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4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24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33" fillId="13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71" fontId="33" fillId="13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27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13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33" fillId="13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7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13" borderId="1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2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3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2" fontId="3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0" fontId="3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1">
    <dxf>
      <font>
        <b val="1"/>
        <color rgb="FFFFFFFF"/>
      </font>
      <fill>
        <patternFill>
          <bgColor rgb="FF2F6DB5"/>
        </patternFill>
      </fill>
      <border diagonalUp="false" diagonalDown="false">
        <left style="thin">
          <color rgb="FFDDE3EC"/>
        </left>
        <right style="thin">
          <color rgb="FFDDE3EC"/>
        </right>
        <top style="thin">
          <color rgb="FFDDE3EC"/>
        </top>
        <bottom style="thin">
          <color rgb="FFDDE3EC"/>
        </bottom>
        <diagonal/>
      </border>
    </dxf>
    <dxf>
      <font>
        <color rgb="FFB0B0B0"/>
      </font>
      <fill>
        <patternFill>
          <bgColor rgb="FFF2F2F2"/>
        </patternFill>
      </fill>
      <border diagonalUp="false" diagonalDown="false">
        <left style="thin">
          <color rgb="FFDDE3EC"/>
        </left>
        <right style="thin">
          <color rgb="FFDDE3EC"/>
        </right>
        <top style="thin">
          <color rgb="FFDDE3EC"/>
        </top>
        <bottom style="thin">
          <color rgb="FFDDE3EC"/>
        </bottom>
        <diagonal/>
      </border>
    </dxf>
    <dxf>
      <font>
        <b val="1"/>
        <color rgb="FFFFFFFF"/>
      </font>
      <fill>
        <patternFill>
          <bgColor rgb="FF3E4C63"/>
        </patternFill>
      </fill>
      <border diagonalUp="false" diagonalDown="false">
        <left style="thin">
          <color rgb="FFDDE3EC"/>
        </left>
        <right style="thin">
          <color rgb="FFDDE3EC"/>
        </right>
        <top style="thin">
          <color rgb="FFDDE3EC"/>
        </top>
        <bottom style="thin">
          <color rgb="FFDDE3EC"/>
        </bottom>
        <diagonal/>
      </border>
    </dxf>
    <dxf>
      <font>
        <color rgb="FF9A6200"/>
      </font>
      <fill>
        <patternFill>
          <bgColor rgb="FFFFF4DD"/>
        </patternFill>
      </fill>
      <border diagonalUp="false" diagonalDown="false">
        <left style="thin">
          <color rgb="FFDDE3EC"/>
        </left>
        <right style="thin">
          <color rgb="FFDDE3EC"/>
        </right>
        <top style="thin">
          <color rgb="FFDDE3EC"/>
        </top>
        <bottom style="thin">
          <color rgb="FFDDE3EC"/>
        </bottom>
        <diagonal/>
      </border>
    </dxf>
    <dxf>
      <font>
        <color rgb="FF333333"/>
      </font>
      <fill>
        <patternFill>
          <bgColor rgb="FFF7F9FC"/>
        </patternFill>
      </fill>
      <border diagonalUp="false" diagonalDown="false">
        <left style="thin">
          <color rgb="FFDDE3EC"/>
        </left>
        <right style="thin">
          <color rgb="FFDDE3EC"/>
        </right>
        <top style="thin">
          <color rgb="FFDDE3EC"/>
        </top>
        <bottom style="thin">
          <color rgb="FFDDE3EC"/>
        </bottom>
        <diagonal/>
      </border>
    </dxf>
    <dxf>
      <font>
        <b val="1"/>
        <color rgb="FFFFFFFF"/>
      </font>
      <fill>
        <patternFill>
          <bgColor rgb="FF7C8AA0"/>
        </patternFill>
      </fill>
      <border diagonalUp="false" diagonalDown="false">
        <left style="thin">
          <color rgb="FFDDE3EC"/>
        </left>
        <right style="thin">
          <color rgb="FFDDE3EC"/>
        </right>
        <top style="thin">
          <color rgb="FFDDE3EC"/>
        </top>
        <bottom style="thin">
          <color rgb="FFDDE3EC"/>
        </bottom>
        <diagonal/>
      </border>
    </dxf>
    <dxf>
      <font>
        <b val="1"/>
        <color rgb="FF9E9E9E"/>
      </font>
      <fill>
        <patternFill>
          <bgColor rgb="FFEFEFEF"/>
        </patternFill>
      </fill>
      <border diagonalUp="false" diagonalDown="false">
        <left style="thin">
          <color rgb="FFDDE3EC"/>
        </left>
        <right style="thin">
          <color rgb="FFDDE3EC"/>
        </right>
        <top style="thin">
          <color rgb="FFDDE3EC"/>
        </top>
        <bottom style="thin">
          <color rgb="FFDDE3EC"/>
        </bottom>
        <diagonal/>
      </border>
    </dxf>
    <dxf>
      <font>
        <b val="1"/>
        <color rgb="FFFFFFFF"/>
      </font>
      <fill>
        <patternFill>
          <bgColor rgb="FFD64545"/>
        </patternFill>
      </fill>
      <border diagonalUp="false" diagonalDown="false">
        <left style="thin">
          <color rgb="FFDDE3EC"/>
        </left>
        <right style="thin">
          <color rgb="FFDDE3EC"/>
        </right>
        <top style="thin">
          <color rgb="FFDDE3EC"/>
        </top>
        <bottom style="thin">
          <color rgb="FFDDE3EC"/>
        </bottom>
        <diagonal/>
      </border>
    </dxf>
    <dxf>
      <font>
        <b val="1"/>
        <color rgb="FF4A2F00"/>
      </font>
      <fill>
        <patternFill>
          <bgColor rgb="FFF5B942"/>
        </patternFill>
      </fill>
      <border diagonalUp="false" diagonalDown="false">
        <left style="thin">
          <color rgb="FFDDE3EC"/>
        </left>
        <right style="thin">
          <color rgb="FFDDE3EC"/>
        </right>
        <top style="thin">
          <color rgb="FFDDE3EC"/>
        </top>
        <bottom style="thin">
          <color rgb="FFDDE3EC"/>
        </bottom>
        <diagonal/>
      </border>
    </dxf>
    <dxf>
      <font>
        <b val="1"/>
        <color rgb="FF1B7F55"/>
      </font>
      <fill>
        <patternFill>
          <bgColor rgb="FFE1F3E8"/>
        </patternFill>
      </fill>
      <border diagonalUp="false" diagonalDown="false">
        <left style="thin">
          <color rgb="FFDDE3EC"/>
        </left>
        <right style="thin">
          <color rgb="FFDDE3EC"/>
        </right>
        <top style="thin">
          <color rgb="FFDDE3EC"/>
        </top>
        <bottom style="thin">
          <color rgb="FFDDE3EC"/>
        </bottom>
        <diagonal/>
      </border>
    </dxf>
    <dxf>
      <fill>
        <patternFill>
          <bgColor rgb="FFE1F3E8"/>
        </patternFill>
      </fill>
      <border diagonalUp="false" diagonalDown="false">
        <left style="thin">
          <color rgb="FFDDE3EC"/>
        </left>
        <right style="thin">
          <color rgb="FFDDE3EC"/>
        </right>
        <top style="thin">
          <color rgb="FFDDE3EC"/>
        </top>
        <bottom style="thin">
          <color rgb="FFDDE3EC"/>
        </bottom>
        <diagonal/>
      </border>
    </dxf>
    <dxf>
      <font>
        <b val="1"/>
        <color rgb="FFFFFFFF"/>
      </font>
      <fill>
        <patternFill>
          <bgColor rgb="FF2F6DB5"/>
        </patternFill>
      </fill>
    </dxf>
    <dxf>
      <font>
        <b val="1"/>
        <color rgb="FFC00000"/>
      </font>
    </dxf>
    <dxf>
      <fill>
        <patternFill>
          <bgColor rgb="FFF0A93B"/>
        </patternFill>
      </fill>
    </dxf>
    <dxf>
      <fill>
        <patternFill>
          <bgColor rgb="FFC00000"/>
        </patternFill>
      </fill>
    </dxf>
    <dxf>
      <fill>
        <patternFill>
          <bgColor rgb="FFC55A11"/>
        </patternFill>
      </fill>
    </dxf>
    <dxf>
      <font>
        <b val="1"/>
        <color rgb="FFC0392B"/>
      </font>
    </dxf>
    <dxf>
      <font>
        <b val="1"/>
        <color rgb="FF9A6200"/>
      </font>
    </dxf>
    <dxf>
      <font>
        <i val="1"/>
        <color rgb="FF7F7F7F"/>
      </font>
      <fill>
        <patternFill>
          <bgColor rgb="FFEFEFEF"/>
        </patternFill>
      </fill>
    </dxf>
    <dxf>
      <font>
        <b val="1"/>
        <color rgb="FFFFFFFF"/>
      </font>
      <fill>
        <patternFill>
          <bgColor rgb="FFC0392B"/>
        </patternFill>
      </fill>
    </dxf>
    <dxf>
      <font>
        <b val="1"/>
        <color rgb="FF1B7F55"/>
      </font>
      <fill>
        <patternFill>
          <bgColor rgb="FFE8F4EC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7F9FC"/>
      <rgbColor rgb="FFFF00FF"/>
      <rgbColor rgb="FF00FFFF"/>
      <rgbColor rgb="FF800000"/>
      <rgbColor rgb="FF008000"/>
      <rgbColor rgb="FF000080"/>
      <rgbColor rgb="FF9A6200"/>
      <rgbColor rgb="FF800080"/>
      <rgbColor rgb="FF1B7F55"/>
      <rgbColor rgb="FFB0B0B0"/>
      <rgbColor rgb="FF7F7F7F"/>
      <rgbColor rgb="FF7C8AA0"/>
      <rgbColor rgb="FFD64545"/>
      <rgbColor rgb="FFFFF8DC"/>
      <rgbColor rgb="FFE1F3E8"/>
      <rgbColor rgb="FF404040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4EC"/>
      <rgbColor rgb="FFEAF0F8"/>
      <rgbColor rgb="FFFFF4DD"/>
      <rgbColor rgb="FFEFEFEF"/>
      <rgbColor rgb="FFF2F2F2"/>
      <rgbColor rgb="FF878787"/>
      <rgbColor rgb="FFDDE3EC"/>
      <rgbColor rgb="FF2F6DB5"/>
      <rgbColor rgb="FF33CCCC"/>
      <rgbColor rgb="FF99CC00"/>
      <rgbColor rgb="FFF5B942"/>
      <rgbColor rgb="FFF0A93B"/>
      <rgbColor rgb="FFC55A11"/>
      <rgbColor rgb="FF595959"/>
      <rgbColor rgb="FF9E9E9E"/>
      <rgbColor rgb="FF1F3A5F"/>
      <rgbColor rgb="FF2E9E6B"/>
      <rgbColor rgb="FF222222"/>
      <rgbColor rgb="FF4A2F00"/>
      <rgbColor rgb="FFC0392B"/>
      <rgbColor rgb="FF555555"/>
      <rgbColor rgb="FF3E4C63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Assenze per mese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Mesi!C4</c:f>
              <c:strCache>
                <c:ptCount val="1"/>
                <c:pt idx="0">
                  <c:v>Assenze</c:v>
                </c:pt>
              </c:strCache>
            </c:strRef>
          </c:tx>
          <c:spPr>
            <a:solidFill>
              <a:srgbClr val="d64545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Mesi!$A$5:$A$16</c:f>
              <c:strCache>
                <c:ptCount val="12"/>
                <c:pt idx="0">
                  <c:v>Ottobre 2026</c:v>
                </c:pt>
                <c:pt idx="1">
                  <c:v>Novembre 2026</c:v>
                </c:pt>
                <c:pt idx="2">
                  <c:v>Dicembre 2026</c:v>
                </c:pt>
                <c:pt idx="3">
                  <c:v>Gennaio 2027</c:v>
                </c:pt>
                <c:pt idx="4">
                  <c:v>Febbraio 2027</c:v>
                </c:pt>
                <c:pt idx="5">
                  <c:v>Marzo 2027</c:v>
                </c:pt>
                <c:pt idx="6">
                  <c:v>Aprile 2027</c:v>
                </c:pt>
                <c:pt idx="7">
                  <c:v>Maggio 2027</c:v>
                </c:pt>
                <c:pt idx="8">
                  <c:v>Giugno 2027</c:v>
                </c:pt>
                <c:pt idx="9">
                  <c:v>Luglio 2027</c:v>
                </c:pt>
                <c:pt idx="10">
                  <c:v>Agosto 2027</c:v>
                </c:pt>
                <c:pt idx="11">
                  <c:v>Settembre 2027</c:v>
                </c:pt>
              </c:strCache>
            </c:strRef>
          </c:cat>
          <c:val>
            <c:numRef>
              <c:f>Mesi!$C$5:$C$16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Mesi!D4</c:f>
              <c:strCache>
                <c:ptCount val="1"/>
                <c:pt idx="0">
                  <c:v>Giustificate</c:v>
                </c:pt>
              </c:strCache>
            </c:strRef>
          </c:tx>
          <c:spPr>
            <a:solidFill>
              <a:srgbClr val="f5b94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Mesi!$A$5:$A$16</c:f>
              <c:strCache>
                <c:ptCount val="12"/>
                <c:pt idx="0">
                  <c:v>Ottobre 2026</c:v>
                </c:pt>
                <c:pt idx="1">
                  <c:v>Novembre 2026</c:v>
                </c:pt>
                <c:pt idx="2">
                  <c:v>Dicembre 2026</c:v>
                </c:pt>
                <c:pt idx="3">
                  <c:v>Gennaio 2027</c:v>
                </c:pt>
                <c:pt idx="4">
                  <c:v>Febbraio 2027</c:v>
                </c:pt>
                <c:pt idx="5">
                  <c:v>Marzo 2027</c:v>
                </c:pt>
                <c:pt idx="6">
                  <c:v>Aprile 2027</c:v>
                </c:pt>
                <c:pt idx="7">
                  <c:v>Maggio 2027</c:v>
                </c:pt>
                <c:pt idx="8">
                  <c:v>Giugno 2027</c:v>
                </c:pt>
                <c:pt idx="9">
                  <c:v>Luglio 2027</c:v>
                </c:pt>
                <c:pt idx="10">
                  <c:v>Agosto 2027</c:v>
                </c:pt>
                <c:pt idx="11">
                  <c:v>Settembre 2027</c:v>
                </c:pt>
              </c:strCache>
            </c:strRef>
          </c:cat>
          <c:val>
            <c:numRef>
              <c:f>Mesi!$D$5:$D$16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150"/>
        <c:overlap val="0"/>
        <c:axId val="32997072"/>
        <c:axId val="76548576"/>
      </c:barChart>
      <c:catAx>
        <c:axId val="32997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548576"/>
        <c:crosses val="autoZero"/>
        <c:auto val="1"/>
        <c:lblAlgn val="ctr"/>
        <c:lblOffset val="100"/>
        <c:noMultiLvlLbl val="0"/>
      </c:catAx>
      <c:valAx>
        <c:axId val="765485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99707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19</xdr:row>
      <xdr:rowOff>0</xdr:rowOff>
    </xdr:from>
    <xdr:to>
      <xdr:col>6</xdr:col>
      <xdr:colOff>480960</xdr:colOff>
      <xdr:row>35</xdr:row>
      <xdr:rowOff>11880</xdr:rowOff>
    </xdr:to>
    <xdr:graphicFrame>
      <xdr:nvGraphicFramePr>
        <xdr:cNvPr id="0" name="Chart 1"/>
        <xdr:cNvGraphicFramePr/>
      </xdr:nvGraphicFramePr>
      <xdr:xfrm>
        <a:off x="0" y="408636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19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9.3"/>
    <col collapsed="false" customWidth="true" hidden="false" outlineLevel="0" max="8" min="8" style="0" width="2"/>
    <col collapsed="false" customWidth="true" hidden="true" outlineLevel="0" max="17" min="10" style="0" width="13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2" t="str">
        <f aca="false">"Periodo: "&amp;TEXT(DAY(Impostazioni!$B$4),"00")&amp;"/"&amp;TEXT(MONTH(Impostazioni!$B$4),"00")&amp;"/"&amp;YEAR(Impostazioni!$B$4)&amp;" - "&amp;TEXT(DAY(Impostazioni!$B$5),"00")&amp;"/"&amp;TEXT(MONTH(Impostazioni!$B$5),"00")&amp;"/"&amp;YEAR(Impostazioni!$B$5)&amp;"  ·  soglia "&amp;ROUND(Impostazioni!$B$6*100,0)&amp;"%"</f>
        <v>Periodo: 01/10/2026 - 30/09/2027  ·  soglia 56%</v>
      </c>
      <c r="B2" s="2"/>
      <c r="C2" s="2"/>
      <c r="D2" s="2"/>
      <c r="E2" s="2"/>
      <c r="F2" s="2"/>
      <c r="G2" s="2"/>
      <c r="J2" s="3" t="n">
        <f aca="false">Impostazioni!$B$8</f>
        <v>46298</v>
      </c>
    </row>
    <row r="3" customFormat="false" ht="19.5" hidden="false" customHeight="true" outlineLevel="0" collapsed="false">
      <c r="A3" s="4" t="s">
        <v>1</v>
      </c>
      <c r="B3" s="4"/>
      <c r="C3" s="5" t="s">
        <v>2</v>
      </c>
      <c r="D3" s="5"/>
      <c r="E3" s="5"/>
      <c r="F3" s="6" t="s">
        <v>3</v>
      </c>
      <c r="G3" s="6"/>
    </row>
    <row r="4" customFormat="false" ht="39.75" hidden="false" customHeight="true" outlineLevel="0" collapsed="false">
      <c r="A4" s="7" t="n">
        <f aca="false">Riepilogo!B17</f>
        <v>137</v>
      </c>
      <c r="B4" s="7"/>
      <c r="C4" s="8" t="n">
        <f aca="false">Riepilogo!B29</f>
        <v>12.528</v>
      </c>
      <c r="D4" s="8"/>
      <c r="E4" s="8"/>
      <c r="F4" s="9" t="n">
        <f aca="false">Riepilogo!B24</f>
        <v>1</v>
      </c>
      <c r="G4" s="9"/>
    </row>
    <row r="5" customFormat="false" ht="18" hidden="false" customHeight="true" outlineLevel="0" collapsed="false">
      <c r="A5" s="10" t="str">
        <f aca="false">"Assenze usate "&amp;Riepilogo!B15&amp;" su "&amp;Riepilogo!B12&amp;"  ·  Giustificate "&amp;Riepilogo!B16&amp;"  ·  Presenze finora "&amp;Riepilogo!B21</f>
        <v>Assenze usate 0 su 137  ·  Giustificate 0  ·  Presenze finora 2</v>
      </c>
      <c r="B5" s="10"/>
      <c r="C5" s="10"/>
      <c r="D5" s="10"/>
      <c r="E5" s="10"/>
      <c r="F5" s="10"/>
      <c r="G5" s="10"/>
    </row>
    <row r="6" customFormat="false" ht="24" hidden="false" customHeight="true" outlineLevel="0" collapsed="false">
      <c r="A6" s="11" t="str">
        <f aca="false">IF(Impostazioni!$B$12&lt;&gt;"OK","VERIFICA IMPOSTAZIONI",IF(Riepilogo!B17&lt;0,"SOGLIA SUPERATA",IF(Riepilogo!B17&lt;=Impostazioni!$B$10,"ATTENZIONE: POCHE ASSENZE RIMASTE","IN REGOLA")))</f>
        <v>IN REGOLA</v>
      </c>
      <c r="B6" s="11"/>
      <c r="C6" s="11"/>
      <c r="D6" s="11"/>
      <c r="E6" s="11"/>
      <c r="F6" s="11"/>
      <c r="G6" s="11"/>
    </row>
    <row r="7" customFormat="false" ht="24" hidden="false" customHeight="true" outlineLevel="0" collapsed="false">
      <c r="A7" s="12" t="s">
        <v>4</v>
      </c>
      <c r="B7" s="12"/>
      <c r="C7" s="12"/>
      <c r="D7" s="12"/>
      <c r="E7" s="12"/>
      <c r="F7" s="12"/>
      <c r="G7" s="12"/>
    </row>
    <row r="8" customFormat="false" ht="21.75" hidden="false" customHeight="true" outlineLevel="0" collapsed="false">
      <c r="A8" s="13" t="s">
        <v>5</v>
      </c>
      <c r="B8" s="14" t="s">
        <v>6</v>
      </c>
      <c r="C8" s="15" t="s">
        <v>7</v>
      </c>
      <c r="D8" s="16" t="s">
        <v>8</v>
      </c>
      <c r="E8" s="16"/>
      <c r="F8" s="16"/>
      <c r="G8" s="16"/>
    </row>
    <row r="9" customFormat="false" ht="12.75" hidden="false" customHeight="true" outlineLevel="0" collapsed="false">
      <c r="A9" s="17" t="s">
        <v>9</v>
      </c>
      <c r="B9" s="17"/>
      <c r="C9" s="17"/>
      <c r="D9" s="17"/>
      <c r="E9" s="17"/>
      <c r="F9" s="17"/>
      <c r="G9" s="17"/>
    </row>
    <row r="10" customFormat="false" ht="21.75" hidden="false" customHeight="true" outlineLevel="0" collapsed="false">
      <c r="A10" s="18" t="str">
        <f aca="false">HYPERLINK("#Calendario!A"&amp;(14+15*MAX(0,MIN(11,(YEAR(Impostazioni!$B$8)-YEAR(Impostazioni!$B$11))*12+MONTH(Impostazioni!$B$8)-MONTH(Impostazioni!$B$11)))),"▸ VAI AL MESE CORRENTE")</f>
        <v>▸ VAI AL MESE CORRENTE</v>
      </c>
      <c r="B10" s="18"/>
      <c r="C10" s="18"/>
      <c r="D10" s="18"/>
      <c r="E10" s="18"/>
      <c r="F10" s="18"/>
      <c r="G10" s="18"/>
    </row>
    <row r="11" customFormat="false" ht="18" hidden="false" customHeight="true" outlineLevel="0" collapsed="false">
      <c r="A11" s="19" t="str">
        <f aca="false">HYPERLINK("#Calendario!A14",CHOOSE(MONTH($J$14),"Gen","Feb","Mar","Apr","Mag","Giu","Lug","Ago","Set","Ott","Nov","Dic")&amp;" "&amp;TEXT(MOD(YEAR($J$14),100),"00"))</f>
        <v>Ott 26</v>
      </c>
      <c r="B11" s="19" t="str">
        <f aca="false">HYPERLINK("#Calendario!A29",CHOOSE(MONTH($J$29),"Gen","Feb","Mar","Apr","Mag","Giu","Lug","Ago","Set","Ott","Nov","Dic")&amp;" "&amp;TEXT(MOD(YEAR($J$29),100),"00"))</f>
        <v>Nov 26</v>
      </c>
      <c r="C11" s="19" t="str">
        <f aca="false">HYPERLINK("#Calendario!A44",CHOOSE(MONTH($J$44),"Gen","Feb","Mar","Apr","Mag","Giu","Lug","Ago","Set","Ott","Nov","Dic")&amp;" "&amp;TEXT(MOD(YEAR($J$44),100),"00"))</f>
        <v>Dic 26</v>
      </c>
      <c r="D11" s="19" t="str">
        <f aca="false">HYPERLINK("#Calendario!A59",CHOOSE(MONTH($J$59),"Gen","Feb","Mar","Apr","Mag","Giu","Lug","Ago","Set","Ott","Nov","Dic")&amp;" "&amp;TEXT(MOD(YEAR($J$59),100),"00"))</f>
        <v>Gen 27</v>
      </c>
      <c r="E11" s="19" t="str">
        <f aca="false">HYPERLINK("#Calendario!A74",CHOOSE(MONTH($J$74),"Gen","Feb","Mar","Apr","Mag","Giu","Lug","Ago","Set","Ott","Nov","Dic")&amp;" "&amp;TEXT(MOD(YEAR($J$74),100),"00"))</f>
        <v>Feb 27</v>
      </c>
      <c r="F11" s="19" t="str">
        <f aca="false">HYPERLINK("#Calendario!A89",CHOOSE(MONTH($J$89),"Gen","Feb","Mar","Apr","Mag","Giu","Lug","Ago","Set","Ott","Nov","Dic")&amp;" "&amp;TEXT(MOD(YEAR($J$89),100),"00"))</f>
        <v>Mar 27</v>
      </c>
      <c r="G11" s="19" t="str">
        <f aca="false">HYPERLINK("#Calendario!A104",CHOOSE(MONTH($J$104),"Gen","Feb","Mar","Apr","Mag","Giu","Lug","Ago","Set","Ott","Nov","Dic")&amp;" "&amp;TEXT(MOD(YEAR($J$104),100),"00"))</f>
        <v>Apr 27</v>
      </c>
    </row>
    <row r="12" customFormat="false" ht="18" hidden="false" customHeight="true" outlineLevel="0" collapsed="false">
      <c r="A12" s="19" t="str">
        <f aca="false">HYPERLINK("#Calendario!A119",CHOOSE(MONTH($J$119),"Gen","Feb","Mar","Apr","Mag","Giu","Lug","Ago","Set","Ott","Nov","Dic")&amp;" "&amp;TEXT(MOD(YEAR($J$119),100),"00"))</f>
        <v>Mag 27</v>
      </c>
      <c r="B12" s="19" t="str">
        <f aca="false">HYPERLINK("#Calendario!A134",CHOOSE(MONTH($J$134),"Gen","Feb","Mar","Apr","Mag","Giu","Lug","Ago","Set","Ott","Nov","Dic")&amp;" "&amp;TEXT(MOD(YEAR($J$134),100),"00"))</f>
        <v>Giu 27</v>
      </c>
      <c r="C12" s="19" t="str">
        <f aca="false">HYPERLINK("#Calendario!A149",CHOOSE(MONTH($J$149),"Gen","Feb","Mar","Apr","Mag","Giu","Lug","Ago","Set","Ott","Nov","Dic")&amp;" "&amp;TEXT(MOD(YEAR($J$149),100),"00"))</f>
        <v>Lug 27</v>
      </c>
      <c r="D12" s="19" t="str">
        <f aca="false">HYPERLINK("#Calendario!A164",CHOOSE(MONTH($J$164),"Gen","Feb","Mar","Apr","Mag","Giu","Lug","Ago","Set","Ott","Nov","Dic")&amp;" "&amp;TEXT(MOD(YEAR($J$164),100),"00"))</f>
        <v>Ago 27</v>
      </c>
      <c r="E12" s="19" t="str">
        <f aca="false">HYPERLINK("#Calendario!A179",CHOOSE(MONTH($J$179),"Gen","Feb","Mar","Apr","Mag","Giu","Lug","Ago","Set","Ott","Nov","Dic")&amp;" "&amp;TEXT(MOD(YEAR($J$179),100),"00"))</f>
        <v>Set 27</v>
      </c>
      <c r="G12" s="20"/>
    </row>
    <row r="13" customFormat="false" ht="7.5" hidden="false" customHeight="true" outlineLevel="0" collapsed="false"/>
    <row r="14" customFormat="false" ht="24" hidden="false" customHeight="true" outlineLevel="0" collapsed="false">
      <c r="A14" s="21" t="str">
        <f aca="false">CHOOSE(MONTH($J14),"GENNAIO","FEBBRAIO","MARZO","APRILE","MAGGIO","GIUGNO","LUGLIO","AGOSTO","SETTEMBRE","OTTOBRE","NOVEMBRE","DICEMBRE")&amp;" "&amp;YEAR($J14)</f>
        <v>OTTOBRE 2026</v>
      </c>
      <c r="B14" s="21"/>
      <c r="C14" s="21"/>
      <c r="D14" s="21"/>
      <c r="E14" s="21"/>
      <c r="F14" s="21"/>
      <c r="G14" s="21"/>
      <c r="J14" s="3" t="n">
        <f aca="false">Impostazioni!$B$11</f>
        <v>46296</v>
      </c>
    </row>
    <row r="15" customFormat="false" ht="15.75" hidden="false" customHeight="true" outlineLevel="0" collapsed="false">
      <c r="A15" s="22" t="s">
        <v>10</v>
      </c>
      <c r="B15" s="22" t="s">
        <v>11</v>
      </c>
      <c r="C15" s="22" t="s">
        <v>11</v>
      </c>
      <c r="D15" s="22" t="s">
        <v>6</v>
      </c>
      <c r="E15" s="22" t="s">
        <v>12</v>
      </c>
      <c r="F15" s="23" t="s">
        <v>13</v>
      </c>
      <c r="G15" s="23" t="s">
        <v>14</v>
      </c>
    </row>
    <row r="16" customFormat="false" ht="13.5" hidden="false" customHeight="true" outlineLevel="0" collapsed="false">
      <c r="A16" s="24" t="str">
        <f aca="false">IF(MONTH($J$14-WEEKDAY($J$14,2)+1)=MONTH($J$14),$J$14-WEEKDAY($J$14,2)+1,"")</f>
        <v/>
      </c>
      <c r="B16" s="24" t="str">
        <f aca="false">IF(MONTH($J$14-WEEKDAY($J$14,2)+2)=MONTH($J$14),$J$14-WEEKDAY($J$14,2)+2,"")</f>
        <v/>
      </c>
      <c r="C16" s="24" t="str">
        <f aca="false">IF(MONTH($J$14-WEEKDAY($J$14,2)+3)=MONTH($J$14),$J$14-WEEKDAY($J$14,2)+3,"")</f>
        <v/>
      </c>
      <c r="D16" s="24" t="n">
        <f aca="false">IF(MONTH($J$14-WEEKDAY($J$14,2)+4)=MONTH($J$14),$J$14-WEEKDAY($J$14,2)+4,"")</f>
        <v>46296</v>
      </c>
      <c r="E16" s="24" t="n">
        <f aca="false">IF(MONTH($J$14-WEEKDAY($J$14,2)+5)=MONTH($J$14),$J$14-WEEKDAY($J$14,2)+5,"")</f>
        <v>46297</v>
      </c>
      <c r="F16" s="24" t="n">
        <f aca="false">IF(MONTH($J$14-WEEKDAY($J$14,2)+6)=MONTH($J$14),$J$14-WEEKDAY($J$14,2)+6,"")</f>
        <v>46298</v>
      </c>
      <c r="G16" s="24" t="n">
        <f aca="false">IF(MONTH($J$14-WEEKDAY($J$14,2)+7)=MONTH($J$14),$J$14-WEEKDAY($J$14,2)+7,"")</f>
        <v>46299</v>
      </c>
      <c r="K16" s="0" t="str">
        <f aca="false">IF(A16="","",INDEX(Giorni!$M$2:$M$367,A16-Giorni!$A$2+1))</f>
        <v/>
      </c>
      <c r="L16" s="0" t="str">
        <f aca="false">IF(B16="","",INDEX(Giorni!$M$2:$M$367,B16-Giorni!$A$2+1))</f>
        <v/>
      </c>
      <c r="M16" s="0" t="str">
        <f aca="false">IF(C16="","",INDEX(Giorni!$M$2:$M$367,C16-Giorni!$A$2+1))</f>
        <v/>
      </c>
      <c r="N16" s="25" t="n">
        <f aca="false">IF(D16="","",INDEX(Giorni!$M$2:$M$367,D16-Giorni!$A$2+1))</f>
        <v>0</v>
      </c>
      <c r="O16" s="25" t="n">
        <f aca="false">IF(E16="","",INDEX(Giorni!$M$2:$M$367,E16-Giorni!$A$2+1))</f>
        <v>0</v>
      </c>
      <c r="P16" s="25" t="n">
        <f aca="false">IF(F16="","",INDEX(Giorni!$M$2:$M$367,F16-Giorni!$A$2+1))</f>
        <v>1</v>
      </c>
      <c r="Q16" s="25" t="n">
        <f aca="false">IF(G16="","",INDEX(Giorni!$M$2:$M$367,G16-Giorni!$A$2+1))</f>
        <v>1</v>
      </c>
    </row>
    <row r="17" customFormat="false" ht="27" hidden="false" customHeight="true" outlineLevel="0" collapsed="false">
      <c r="A17" s="26"/>
      <c r="B17" s="26"/>
      <c r="C17" s="26"/>
      <c r="D17" s="26"/>
      <c r="E17" s="26"/>
      <c r="F17" s="26"/>
      <c r="G17" s="26"/>
    </row>
    <row r="18" customFormat="false" ht="13.5" hidden="false" customHeight="true" outlineLevel="0" collapsed="false">
      <c r="A18" s="24" t="n">
        <f aca="false">IF(MONTH($J$14-WEEKDAY($J$14,2)+8)=MONTH($J$14),$J$14-WEEKDAY($J$14,2)+8,"")</f>
        <v>46300</v>
      </c>
      <c r="B18" s="24" t="n">
        <f aca="false">IF(MONTH($J$14-WEEKDAY($J$14,2)+9)=MONTH($J$14),$J$14-WEEKDAY($J$14,2)+9,"")</f>
        <v>46301</v>
      </c>
      <c r="C18" s="24" t="n">
        <f aca="false">IF(MONTH($J$14-WEEKDAY($J$14,2)+10)=MONTH($J$14),$J$14-WEEKDAY($J$14,2)+10,"")</f>
        <v>46302</v>
      </c>
      <c r="D18" s="24" t="n">
        <f aca="false">IF(MONTH($J$14-WEEKDAY($J$14,2)+11)=MONTH($J$14),$J$14-WEEKDAY($J$14,2)+11,"")</f>
        <v>46303</v>
      </c>
      <c r="E18" s="24" t="n">
        <f aca="false">IF(MONTH($J$14-WEEKDAY($J$14,2)+12)=MONTH($J$14),$J$14-WEEKDAY($J$14,2)+12,"")</f>
        <v>46304</v>
      </c>
      <c r="F18" s="24" t="n">
        <f aca="false">IF(MONTH($J$14-WEEKDAY($J$14,2)+13)=MONTH($J$14),$J$14-WEEKDAY($J$14,2)+13,"")</f>
        <v>46305</v>
      </c>
      <c r="G18" s="24" t="n">
        <f aca="false">IF(MONTH($J$14-WEEKDAY($J$14,2)+14)=MONTH($J$14),$J$14-WEEKDAY($J$14,2)+14,"")</f>
        <v>46306</v>
      </c>
      <c r="K18" s="25" t="n">
        <f aca="false">IF(A18="","",INDEX(Giorni!$M$2:$M$367,A18-Giorni!$A$2+1))</f>
        <v>0</v>
      </c>
      <c r="L18" s="25" t="n">
        <f aca="false">IF(B18="","",INDEX(Giorni!$M$2:$M$367,B18-Giorni!$A$2+1))</f>
        <v>0</v>
      </c>
      <c r="M18" s="25" t="n">
        <f aca="false">IF(C18="","",INDEX(Giorni!$M$2:$M$367,C18-Giorni!$A$2+1))</f>
        <v>0</v>
      </c>
      <c r="N18" s="25" t="n">
        <f aca="false">IF(D18="","",INDEX(Giorni!$M$2:$M$367,D18-Giorni!$A$2+1))</f>
        <v>0</v>
      </c>
      <c r="O18" s="25" t="n">
        <f aca="false">IF(E18="","",INDEX(Giorni!$M$2:$M$367,E18-Giorni!$A$2+1))</f>
        <v>0</v>
      </c>
      <c r="P18" s="25" t="n">
        <f aca="false">IF(F18="","",INDEX(Giorni!$M$2:$M$367,F18-Giorni!$A$2+1))</f>
        <v>1</v>
      </c>
      <c r="Q18" s="25" t="n">
        <f aca="false">IF(G18="","",INDEX(Giorni!$M$2:$M$367,G18-Giorni!$A$2+1))</f>
        <v>1</v>
      </c>
    </row>
    <row r="19" customFormat="false" ht="27" hidden="false" customHeight="true" outlineLevel="0" collapsed="false">
      <c r="A19" s="26"/>
      <c r="B19" s="26"/>
      <c r="C19" s="26"/>
      <c r="D19" s="26"/>
      <c r="E19" s="26"/>
      <c r="F19" s="26"/>
      <c r="G19" s="26"/>
    </row>
    <row r="20" customFormat="false" ht="13.5" hidden="false" customHeight="true" outlineLevel="0" collapsed="false">
      <c r="A20" s="24" t="n">
        <f aca="false">IF(MONTH($J$14-WEEKDAY($J$14,2)+15)=MONTH($J$14),$J$14-WEEKDAY($J$14,2)+15,"")</f>
        <v>46307</v>
      </c>
      <c r="B20" s="24" t="n">
        <f aca="false">IF(MONTH($J$14-WEEKDAY($J$14,2)+16)=MONTH($J$14),$J$14-WEEKDAY($J$14,2)+16,"")</f>
        <v>46308</v>
      </c>
      <c r="C20" s="24" t="n">
        <f aca="false">IF(MONTH($J$14-WEEKDAY($J$14,2)+17)=MONTH($J$14),$J$14-WEEKDAY($J$14,2)+17,"")</f>
        <v>46309</v>
      </c>
      <c r="D20" s="24" t="n">
        <f aca="false">IF(MONTH($J$14-WEEKDAY($J$14,2)+18)=MONTH($J$14),$J$14-WEEKDAY($J$14,2)+18,"")</f>
        <v>46310</v>
      </c>
      <c r="E20" s="24" t="n">
        <f aca="false">IF(MONTH($J$14-WEEKDAY($J$14,2)+19)=MONTH($J$14),$J$14-WEEKDAY($J$14,2)+19,"")</f>
        <v>46311</v>
      </c>
      <c r="F20" s="24" t="n">
        <f aca="false">IF(MONTH($J$14-WEEKDAY($J$14,2)+20)=MONTH($J$14),$J$14-WEEKDAY($J$14,2)+20,"")</f>
        <v>46312</v>
      </c>
      <c r="G20" s="24" t="n">
        <f aca="false">IF(MONTH($J$14-WEEKDAY($J$14,2)+21)=MONTH($J$14),$J$14-WEEKDAY($J$14,2)+21,"")</f>
        <v>46313</v>
      </c>
      <c r="K20" s="25" t="n">
        <f aca="false">IF(A20="","",INDEX(Giorni!$M$2:$M$367,A20-Giorni!$A$2+1))</f>
        <v>0</v>
      </c>
      <c r="L20" s="25" t="n">
        <f aca="false">IF(B20="","",INDEX(Giorni!$M$2:$M$367,B20-Giorni!$A$2+1))</f>
        <v>0</v>
      </c>
      <c r="M20" s="25" t="n">
        <f aca="false">IF(C20="","",INDEX(Giorni!$M$2:$M$367,C20-Giorni!$A$2+1))</f>
        <v>0</v>
      </c>
      <c r="N20" s="25" t="n">
        <f aca="false">IF(D20="","",INDEX(Giorni!$M$2:$M$367,D20-Giorni!$A$2+1))</f>
        <v>0</v>
      </c>
      <c r="O20" s="25" t="n">
        <f aca="false">IF(E20="","",INDEX(Giorni!$M$2:$M$367,E20-Giorni!$A$2+1))</f>
        <v>0</v>
      </c>
      <c r="P20" s="25" t="n">
        <f aca="false">IF(F20="","",INDEX(Giorni!$M$2:$M$367,F20-Giorni!$A$2+1))</f>
        <v>1</v>
      </c>
      <c r="Q20" s="25" t="n">
        <f aca="false">IF(G20="","",INDEX(Giorni!$M$2:$M$367,G20-Giorni!$A$2+1))</f>
        <v>1</v>
      </c>
    </row>
    <row r="21" customFormat="false" ht="27" hidden="false" customHeight="true" outlineLevel="0" collapsed="false">
      <c r="A21" s="26"/>
      <c r="B21" s="26"/>
      <c r="C21" s="26"/>
      <c r="D21" s="26"/>
      <c r="E21" s="26"/>
      <c r="F21" s="26"/>
      <c r="G21" s="26"/>
    </row>
    <row r="22" customFormat="false" ht="13.5" hidden="false" customHeight="true" outlineLevel="0" collapsed="false">
      <c r="A22" s="24" t="n">
        <f aca="false">IF(MONTH($J$14-WEEKDAY($J$14,2)+22)=MONTH($J$14),$J$14-WEEKDAY($J$14,2)+22,"")</f>
        <v>46314</v>
      </c>
      <c r="B22" s="24" t="n">
        <f aca="false">IF(MONTH($J$14-WEEKDAY($J$14,2)+23)=MONTH($J$14),$J$14-WEEKDAY($J$14,2)+23,"")</f>
        <v>46315</v>
      </c>
      <c r="C22" s="24" t="n">
        <f aca="false">IF(MONTH($J$14-WEEKDAY($J$14,2)+24)=MONTH($J$14),$J$14-WEEKDAY($J$14,2)+24,"")</f>
        <v>46316</v>
      </c>
      <c r="D22" s="24" t="n">
        <f aca="false">IF(MONTH($J$14-WEEKDAY($J$14,2)+25)=MONTH($J$14),$J$14-WEEKDAY($J$14,2)+25,"")</f>
        <v>46317</v>
      </c>
      <c r="E22" s="24" t="n">
        <f aca="false">IF(MONTH($J$14-WEEKDAY($J$14,2)+26)=MONTH($J$14),$J$14-WEEKDAY($J$14,2)+26,"")</f>
        <v>46318</v>
      </c>
      <c r="F22" s="24" t="n">
        <f aca="false">IF(MONTH($J$14-WEEKDAY($J$14,2)+27)=MONTH($J$14),$J$14-WEEKDAY($J$14,2)+27,"")</f>
        <v>46319</v>
      </c>
      <c r="G22" s="24" t="n">
        <f aca="false">IF(MONTH($J$14-WEEKDAY($J$14,2)+28)=MONTH($J$14),$J$14-WEEKDAY($J$14,2)+28,"")</f>
        <v>46320</v>
      </c>
      <c r="K22" s="25" t="n">
        <f aca="false">IF(A22="","",INDEX(Giorni!$M$2:$M$367,A22-Giorni!$A$2+1))</f>
        <v>0</v>
      </c>
      <c r="L22" s="25" t="n">
        <f aca="false">IF(B22="","",INDEX(Giorni!$M$2:$M$367,B22-Giorni!$A$2+1))</f>
        <v>0</v>
      </c>
      <c r="M22" s="25" t="n">
        <f aca="false">IF(C22="","",INDEX(Giorni!$M$2:$M$367,C22-Giorni!$A$2+1))</f>
        <v>0</v>
      </c>
      <c r="N22" s="25" t="n">
        <f aca="false">IF(D22="","",INDEX(Giorni!$M$2:$M$367,D22-Giorni!$A$2+1))</f>
        <v>0</v>
      </c>
      <c r="O22" s="25" t="n">
        <f aca="false">IF(E22="","",INDEX(Giorni!$M$2:$M$367,E22-Giorni!$A$2+1))</f>
        <v>0</v>
      </c>
      <c r="P22" s="25" t="n">
        <f aca="false">IF(F22="","",INDEX(Giorni!$M$2:$M$367,F22-Giorni!$A$2+1))</f>
        <v>1</v>
      </c>
      <c r="Q22" s="25" t="n">
        <f aca="false">IF(G22="","",INDEX(Giorni!$M$2:$M$367,G22-Giorni!$A$2+1))</f>
        <v>1</v>
      </c>
    </row>
    <row r="23" customFormat="false" ht="27" hidden="false" customHeight="true" outlineLevel="0" collapsed="false">
      <c r="A23" s="26"/>
      <c r="B23" s="26"/>
      <c r="C23" s="26"/>
      <c r="D23" s="26"/>
      <c r="E23" s="26"/>
      <c r="F23" s="26"/>
      <c r="G23" s="26"/>
    </row>
    <row r="24" customFormat="false" ht="13.5" hidden="false" customHeight="true" outlineLevel="0" collapsed="false">
      <c r="A24" s="24" t="n">
        <f aca="false">IF(MONTH($J$14-WEEKDAY($J$14,2)+29)=MONTH($J$14),$J$14-WEEKDAY($J$14,2)+29,"")</f>
        <v>46321</v>
      </c>
      <c r="B24" s="24" t="n">
        <f aca="false">IF(MONTH($J$14-WEEKDAY($J$14,2)+30)=MONTH($J$14),$J$14-WEEKDAY($J$14,2)+30,"")</f>
        <v>46322</v>
      </c>
      <c r="C24" s="24" t="n">
        <f aca="false">IF(MONTH($J$14-WEEKDAY($J$14,2)+31)=MONTH($J$14),$J$14-WEEKDAY($J$14,2)+31,"")</f>
        <v>46323</v>
      </c>
      <c r="D24" s="24" t="n">
        <f aca="false">IF(MONTH($J$14-WEEKDAY($J$14,2)+32)=MONTH($J$14),$J$14-WEEKDAY($J$14,2)+32,"")</f>
        <v>46324</v>
      </c>
      <c r="E24" s="24" t="n">
        <f aca="false">IF(MONTH($J$14-WEEKDAY($J$14,2)+33)=MONTH($J$14),$J$14-WEEKDAY($J$14,2)+33,"")</f>
        <v>46325</v>
      </c>
      <c r="F24" s="24" t="n">
        <f aca="false">IF(MONTH($J$14-WEEKDAY($J$14,2)+34)=MONTH($J$14),$J$14-WEEKDAY($J$14,2)+34,"")</f>
        <v>46326</v>
      </c>
      <c r="G24" s="24" t="str">
        <f aca="false">IF(MONTH($J$14-WEEKDAY($J$14,2)+35)=MONTH($J$14),$J$14-WEEKDAY($J$14,2)+35,"")</f>
        <v/>
      </c>
      <c r="K24" s="25" t="n">
        <f aca="false">IF(A24="","",INDEX(Giorni!$M$2:$M$367,A24-Giorni!$A$2+1))</f>
        <v>0</v>
      </c>
      <c r="L24" s="25" t="n">
        <f aca="false">IF(B24="","",INDEX(Giorni!$M$2:$M$367,B24-Giorni!$A$2+1))</f>
        <v>0</v>
      </c>
      <c r="M24" s="25" t="n">
        <f aca="false">IF(C24="","",INDEX(Giorni!$M$2:$M$367,C24-Giorni!$A$2+1))</f>
        <v>0</v>
      </c>
      <c r="N24" s="25" t="n">
        <f aca="false">IF(D24="","",INDEX(Giorni!$M$2:$M$367,D24-Giorni!$A$2+1))</f>
        <v>0</v>
      </c>
      <c r="O24" s="25" t="n">
        <f aca="false">IF(E24="","",INDEX(Giorni!$M$2:$M$367,E24-Giorni!$A$2+1))</f>
        <v>0</v>
      </c>
      <c r="P24" s="25" t="n">
        <f aca="false">IF(F24="","",INDEX(Giorni!$M$2:$M$367,F24-Giorni!$A$2+1))</f>
        <v>1</v>
      </c>
      <c r="Q24" s="0" t="str">
        <f aca="false">IF(G24="","",INDEX(Giorni!$M$2:$M$367,G24-Giorni!$A$2+1))</f>
        <v/>
      </c>
    </row>
    <row r="25" customFormat="false" ht="27" hidden="false" customHeight="true" outlineLevel="0" collapsed="false">
      <c r="A25" s="26"/>
      <c r="B25" s="26"/>
      <c r="C25" s="26"/>
      <c r="D25" s="26"/>
      <c r="E25" s="26"/>
      <c r="F25" s="26"/>
      <c r="G25" s="26"/>
    </row>
    <row r="26" customFormat="false" ht="13.5" hidden="false" customHeight="true" outlineLevel="0" collapsed="false">
      <c r="A26" s="24" t="str">
        <f aca="false">IF(MONTH($J$14-WEEKDAY($J$14,2)+36)=MONTH($J$14),$J$14-WEEKDAY($J$14,2)+36,"")</f>
        <v/>
      </c>
      <c r="B26" s="24" t="str">
        <f aca="false">IF(MONTH($J$14-WEEKDAY($J$14,2)+37)=MONTH($J$14),$J$14-WEEKDAY($J$14,2)+37,"")</f>
        <v/>
      </c>
      <c r="C26" s="24" t="str">
        <f aca="false">IF(MONTH($J$14-WEEKDAY($J$14,2)+38)=MONTH($J$14),$J$14-WEEKDAY($J$14,2)+38,"")</f>
        <v/>
      </c>
      <c r="D26" s="24" t="str">
        <f aca="false">IF(MONTH($J$14-WEEKDAY($J$14,2)+39)=MONTH($J$14),$J$14-WEEKDAY($J$14,2)+39,"")</f>
        <v/>
      </c>
      <c r="E26" s="24" t="str">
        <f aca="false">IF(MONTH($J$14-WEEKDAY($J$14,2)+40)=MONTH($J$14),$J$14-WEEKDAY($J$14,2)+40,"")</f>
        <v/>
      </c>
      <c r="F26" s="24" t="str">
        <f aca="false">IF(MONTH($J$14-WEEKDAY($J$14,2)+41)=MONTH($J$14),$J$14-WEEKDAY($J$14,2)+41,"")</f>
        <v/>
      </c>
      <c r="G26" s="24" t="str">
        <f aca="false">IF(MONTH($J$14-WEEKDAY($J$14,2)+42)=MONTH($J$14),$J$14-WEEKDAY($J$14,2)+42,"")</f>
        <v/>
      </c>
      <c r="K26" s="0" t="str">
        <f aca="false">IF(A26="","",INDEX(Giorni!$M$2:$M$367,A26-Giorni!$A$2+1))</f>
        <v/>
      </c>
      <c r="L26" s="0" t="str">
        <f aca="false">IF(B26="","",INDEX(Giorni!$M$2:$M$367,B26-Giorni!$A$2+1))</f>
        <v/>
      </c>
      <c r="M26" s="0" t="str">
        <f aca="false">IF(C26="","",INDEX(Giorni!$M$2:$M$367,C26-Giorni!$A$2+1))</f>
        <v/>
      </c>
      <c r="N26" s="0" t="str">
        <f aca="false">IF(D26="","",INDEX(Giorni!$M$2:$M$367,D26-Giorni!$A$2+1))</f>
        <v/>
      </c>
      <c r="O26" s="0" t="str">
        <f aca="false">IF(E26="","",INDEX(Giorni!$M$2:$M$367,E26-Giorni!$A$2+1))</f>
        <v/>
      </c>
      <c r="P26" s="0" t="str">
        <f aca="false">IF(F26="","",INDEX(Giorni!$M$2:$M$367,F26-Giorni!$A$2+1))</f>
        <v/>
      </c>
      <c r="Q26" s="0" t="str">
        <f aca="false">IF(G26="","",INDEX(Giorni!$M$2:$M$367,G26-Giorni!$A$2+1))</f>
        <v/>
      </c>
    </row>
    <row r="27" customFormat="false" ht="27" hidden="false" customHeight="true" outlineLevel="0" collapsed="false">
      <c r="A27" s="26"/>
      <c r="B27" s="26"/>
      <c r="C27" s="26"/>
      <c r="D27" s="26"/>
      <c r="E27" s="26"/>
      <c r="F27" s="26"/>
      <c r="G27" s="26"/>
    </row>
    <row r="28" customFormat="false" ht="9.75" hidden="false" customHeight="true" outlineLevel="0" collapsed="false"/>
    <row r="29" customFormat="false" ht="24" hidden="false" customHeight="true" outlineLevel="0" collapsed="false">
      <c r="A29" s="21" t="str">
        <f aca="false">CHOOSE(MONTH($J29),"GENNAIO","FEBBRAIO","MARZO","APRILE","MAGGIO","GIUGNO","LUGLIO","AGOSTO","SETTEMBRE","OTTOBRE","NOVEMBRE","DICEMBRE")&amp;" "&amp;YEAR($J29)</f>
        <v>NOVEMBRE 2026</v>
      </c>
      <c r="B29" s="21"/>
      <c r="C29" s="21"/>
      <c r="D29" s="21"/>
      <c r="E29" s="21"/>
      <c r="F29" s="21"/>
      <c r="G29" s="21"/>
      <c r="J29" s="25" t="n">
        <f aca="false">EDATE(J14,1)</f>
        <v>46327</v>
      </c>
    </row>
    <row r="30" customFormat="false" ht="15.75" hidden="false" customHeight="true" outlineLevel="0" collapsed="false">
      <c r="A30" s="22" t="s">
        <v>10</v>
      </c>
      <c r="B30" s="22" t="s">
        <v>11</v>
      </c>
      <c r="C30" s="22" t="s">
        <v>11</v>
      </c>
      <c r="D30" s="22" t="s">
        <v>6</v>
      </c>
      <c r="E30" s="22" t="s">
        <v>12</v>
      </c>
      <c r="F30" s="23" t="s">
        <v>13</v>
      </c>
      <c r="G30" s="23" t="s">
        <v>14</v>
      </c>
    </row>
    <row r="31" customFormat="false" ht="13.5" hidden="false" customHeight="true" outlineLevel="0" collapsed="false">
      <c r="A31" s="24" t="str">
        <f aca="false">IF(MONTH($J$29-WEEKDAY($J$29,2)+1)=MONTH($J$29),$J$29-WEEKDAY($J$29,2)+1,"")</f>
        <v/>
      </c>
      <c r="B31" s="24" t="str">
        <f aca="false">IF(MONTH($J$29-WEEKDAY($J$29,2)+2)=MONTH($J$29),$J$29-WEEKDAY($J$29,2)+2,"")</f>
        <v/>
      </c>
      <c r="C31" s="24" t="str">
        <f aca="false">IF(MONTH($J$29-WEEKDAY($J$29,2)+3)=MONTH($J$29),$J$29-WEEKDAY($J$29,2)+3,"")</f>
        <v/>
      </c>
      <c r="D31" s="24" t="str">
        <f aca="false">IF(MONTH($J$29-WEEKDAY($J$29,2)+4)=MONTH($J$29),$J$29-WEEKDAY($J$29,2)+4,"")</f>
        <v/>
      </c>
      <c r="E31" s="24" t="str">
        <f aca="false">IF(MONTH($J$29-WEEKDAY($J$29,2)+5)=MONTH($J$29),$J$29-WEEKDAY($J$29,2)+5,"")</f>
        <v/>
      </c>
      <c r="F31" s="24" t="str">
        <f aca="false">IF(MONTH($J$29-WEEKDAY($J$29,2)+6)=MONTH($J$29),$J$29-WEEKDAY($J$29,2)+6,"")</f>
        <v/>
      </c>
      <c r="G31" s="24" t="n">
        <f aca="false">IF(MONTH($J$29-WEEKDAY($J$29,2)+7)=MONTH($J$29),$J$29-WEEKDAY($J$29,2)+7,"")</f>
        <v>46327</v>
      </c>
      <c r="K31" s="0" t="str">
        <f aca="false">IF(A31="","",INDEX(Giorni!$M$2:$M$367,A31-Giorni!$A$2+1))</f>
        <v/>
      </c>
      <c r="L31" s="0" t="str">
        <f aca="false">IF(B31="","",INDEX(Giorni!$M$2:$M$367,B31-Giorni!$A$2+1))</f>
        <v/>
      </c>
      <c r="M31" s="0" t="str">
        <f aca="false">IF(C31="","",INDEX(Giorni!$M$2:$M$367,C31-Giorni!$A$2+1))</f>
        <v/>
      </c>
      <c r="N31" s="0" t="str">
        <f aca="false">IF(D31="","",INDEX(Giorni!$M$2:$M$367,D31-Giorni!$A$2+1))</f>
        <v/>
      </c>
      <c r="O31" s="0" t="str">
        <f aca="false">IF(E31="","",INDEX(Giorni!$M$2:$M$367,E31-Giorni!$A$2+1))</f>
        <v/>
      </c>
      <c r="P31" s="0" t="str">
        <f aca="false">IF(F31="","",INDEX(Giorni!$M$2:$M$367,F31-Giorni!$A$2+1))</f>
        <v/>
      </c>
      <c r="Q31" s="25" t="n">
        <f aca="false">IF(G31="","",INDEX(Giorni!$M$2:$M$367,G31-Giorni!$A$2+1))</f>
        <v>2</v>
      </c>
    </row>
    <row r="32" customFormat="false" ht="27" hidden="false" customHeight="true" outlineLevel="0" collapsed="false">
      <c r="A32" s="26"/>
      <c r="B32" s="26"/>
      <c r="C32" s="26"/>
      <c r="D32" s="26"/>
      <c r="E32" s="26"/>
      <c r="F32" s="26"/>
      <c r="G32" s="26"/>
    </row>
    <row r="33" customFormat="false" ht="13.5" hidden="false" customHeight="true" outlineLevel="0" collapsed="false">
      <c r="A33" s="24" t="n">
        <f aca="false">IF(MONTH($J$29-WEEKDAY($J$29,2)+8)=MONTH($J$29),$J$29-WEEKDAY($J$29,2)+8,"")</f>
        <v>46328</v>
      </c>
      <c r="B33" s="24" t="n">
        <f aca="false">IF(MONTH($J$29-WEEKDAY($J$29,2)+9)=MONTH($J$29),$J$29-WEEKDAY($J$29,2)+9,"")</f>
        <v>46329</v>
      </c>
      <c r="C33" s="24" t="n">
        <f aca="false">IF(MONTH($J$29-WEEKDAY($J$29,2)+10)=MONTH($J$29),$J$29-WEEKDAY($J$29,2)+10,"")</f>
        <v>46330</v>
      </c>
      <c r="D33" s="24" t="n">
        <f aca="false">IF(MONTH($J$29-WEEKDAY($J$29,2)+11)=MONTH($J$29),$J$29-WEEKDAY($J$29,2)+11,"")</f>
        <v>46331</v>
      </c>
      <c r="E33" s="24" t="n">
        <f aca="false">IF(MONTH($J$29-WEEKDAY($J$29,2)+12)=MONTH($J$29),$J$29-WEEKDAY($J$29,2)+12,"")</f>
        <v>46332</v>
      </c>
      <c r="F33" s="24" t="n">
        <f aca="false">IF(MONTH($J$29-WEEKDAY($J$29,2)+13)=MONTH($J$29),$J$29-WEEKDAY($J$29,2)+13,"")</f>
        <v>46333</v>
      </c>
      <c r="G33" s="24" t="n">
        <f aca="false">IF(MONTH($J$29-WEEKDAY($J$29,2)+14)=MONTH($J$29),$J$29-WEEKDAY($J$29,2)+14,"")</f>
        <v>46334</v>
      </c>
      <c r="K33" s="25" t="n">
        <f aca="false">IF(A33="","",INDEX(Giorni!$M$2:$M$367,A33-Giorni!$A$2+1))</f>
        <v>0</v>
      </c>
      <c r="L33" s="25" t="n">
        <f aca="false">IF(B33="","",INDEX(Giorni!$M$2:$M$367,B33-Giorni!$A$2+1))</f>
        <v>0</v>
      </c>
      <c r="M33" s="25" t="n">
        <f aca="false">IF(C33="","",INDEX(Giorni!$M$2:$M$367,C33-Giorni!$A$2+1))</f>
        <v>0</v>
      </c>
      <c r="N33" s="25" t="n">
        <f aca="false">IF(D33="","",INDEX(Giorni!$M$2:$M$367,D33-Giorni!$A$2+1))</f>
        <v>0</v>
      </c>
      <c r="O33" s="25" t="n">
        <f aca="false">IF(E33="","",INDEX(Giorni!$M$2:$M$367,E33-Giorni!$A$2+1))</f>
        <v>0</v>
      </c>
      <c r="P33" s="25" t="n">
        <f aca="false">IF(F33="","",INDEX(Giorni!$M$2:$M$367,F33-Giorni!$A$2+1))</f>
        <v>1</v>
      </c>
      <c r="Q33" s="25" t="n">
        <f aca="false">IF(G33="","",INDEX(Giorni!$M$2:$M$367,G33-Giorni!$A$2+1))</f>
        <v>1</v>
      </c>
    </row>
    <row r="34" customFormat="false" ht="27" hidden="false" customHeight="true" outlineLevel="0" collapsed="false">
      <c r="A34" s="26"/>
      <c r="B34" s="26"/>
      <c r="C34" s="26"/>
      <c r="D34" s="26"/>
      <c r="E34" s="26"/>
      <c r="F34" s="26"/>
      <c r="G34" s="26"/>
    </row>
    <row r="35" customFormat="false" ht="13.5" hidden="false" customHeight="true" outlineLevel="0" collapsed="false">
      <c r="A35" s="24" t="n">
        <f aca="false">IF(MONTH($J$29-WEEKDAY($J$29,2)+15)=MONTH($J$29),$J$29-WEEKDAY($J$29,2)+15,"")</f>
        <v>46335</v>
      </c>
      <c r="B35" s="24" t="n">
        <f aca="false">IF(MONTH($J$29-WEEKDAY($J$29,2)+16)=MONTH($J$29),$J$29-WEEKDAY($J$29,2)+16,"")</f>
        <v>46336</v>
      </c>
      <c r="C35" s="24" t="n">
        <f aca="false">IF(MONTH($J$29-WEEKDAY($J$29,2)+17)=MONTH($J$29),$J$29-WEEKDAY($J$29,2)+17,"")</f>
        <v>46337</v>
      </c>
      <c r="D35" s="24" t="n">
        <f aca="false">IF(MONTH($J$29-WEEKDAY($J$29,2)+18)=MONTH($J$29),$J$29-WEEKDAY($J$29,2)+18,"")</f>
        <v>46338</v>
      </c>
      <c r="E35" s="24" t="n">
        <f aca="false">IF(MONTH($J$29-WEEKDAY($J$29,2)+19)=MONTH($J$29),$J$29-WEEKDAY($J$29,2)+19,"")</f>
        <v>46339</v>
      </c>
      <c r="F35" s="24" t="n">
        <f aca="false">IF(MONTH($J$29-WEEKDAY($J$29,2)+20)=MONTH($J$29),$J$29-WEEKDAY($J$29,2)+20,"")</f>
        <v>46340</v>
      </c>
      <c r="G35" s="24" t="n">
        <f aca="false">IF(MONTH($J$29-WEEKDAY($J$29,2)+21)=MONTH($J$29),$J$29-WEEKDAY($J$29,2)+21,"")</f>
        <v>46341</v>
      </c>
      <c r="K35" s="25" t="n">
        <f aca="false">IF(A35="","",INDEX(Giorni!$M$2:$M$367,A35-Giorni!$A$2+1))</f>
        <v>0</v>
      </c>
      <c r="L35" s="25" t="n">
        <f aca="false">IF(B35="","",INDEX(Giorni!$M$2:$M$367,B35-Giorni!$A$2+1))</f>
        <v>0</v>
      </c>
      <c r="M35" s="25" t="n">
        <f aca="false">IF(C35="","",INDEX(Giorni!$M$2:$M$367,C35-Giorni!$A$2+1))</f>
        <v>0</v>
      </c>
      <c r="N35" s="25" t="n">
        <f aca="false">IF(D35="","",INDEX(Giorni!$M$2:$M$367,D35-Giorni!$A$2+1))</f>
        <v>0</v>
      </c>
      <c r="O35" s="25" t="n">
        <f aca="false">IF(E35="","",INDEX(Giorni!$M$2:$M$367,E35-Giorni!$A$2+1))</f>
        <v>0</v>
      </c>
      <c r="P35" s="25" t="n">
        <f aca="false">IF(F35="","",INDEX(Giorni!$M$2:$M$367,F35-Giorni!$A$2+1))</f>
        <v>1</v>
      </c>
      <c r="Q35" s="25" t="n">
        <f aca="false">IF(G35="","",INDEX(Giorni!$M$2:$M$367,G35-Giorni!$A$2+1))</f>
        <v>1</v>
      </c>
    </row>
    <row r="36" customFormat="false" ht="27" hidden="false" customHeight="true" outlineLevel="0" collapsed="false">
      <c r="A36" s="26"/>
      <c r="B36" s="26"/>
      <c r="C36" s="26"/>
      <c r="D36" s="26"/>
      <c r="E36" s="26"/>
      <c r="F36" s="26"/>
      <c r="G36" s="26"/>
    </row>
    <row r="37" customFormat="false" ht="13.5" hidden="false" customHeight="true" outlineLevel="0" collapsed="false">
      <c r="A37" s="24" t="n">
        <f aca="false">IF(MONTH($J$29-WEEKDAY($J$29,2)+22)=MONTH($J$29),$J$29-WEEKDAY($J$29,2)+22,"")</f>
        <v>46342</v>
      </c>
      <c r="B37" s="24" t="n">
        <f aca="false">IF(MONTH($J$29-WEEKDAY($J$29,2)+23)=MONTH($J$29),$J$29-WEEKDAY($J$29,2)+23,"")</f>
        <v>46343</v>
      </c>
      <c r="C37" s="24" t="n">
        <f aca="false">IF(MONTH($J$29-WEEKDAY($J$29,2)+24)=MONTH($J$29),$J$29-WEEKDAY($J$29,2)+24,"")</f>
        <v>46344</v>
      </c>
      <c r="D37" s="24" t="n">
        <f aca="false">IF(MONTH($J$29-WEEKDAY($J$29,2)+25)=MONTH($J$29),$J$29-WEEKDAY($J$29,2)+25,"")</f>
        <v>46345</v>
      </c>
      <c r="E37" s="24" t="n">
        <f aca="false">IF(MONTH($J$29-WEEKDAY($J$29,2)+26)=MONTH($J$29),$J$29-WEEKDAY($J$29,2)+26,"")</f>
        <v>46346</v>
      </c>
      <c r="F37" s="24" t="n">
        <f aca="false">IF(MONTH($J$29-WEEKDAY($J$29,2)+27)=MONTH($J$29),$J$29-WEEKDAY($J$29,2)+27,"")</f>
        <v>46347</v>
      </c>
      <c r="G37" s="24" t="n">
        <f aca="false">IF(MONTH($J$29-WEEKDAY($J$29,2)+28)=MONTH($J$29),$J$29-WEEKDAY($J$29,2)+28,"")</f>
        <v>46348</v>
      </c>
      <c r="K37" s="25" t="n">
        <f aca="false">IF(A37="","",INDEX(Giorni!$M$2:$M$367,A37-Giorni!$A$2+1))</f>
        <v>0</v>
      </c>
      <c r="L37" s="25" t="n">
        <f aca="false">IF(B37="","",INDEX(Giorni!$M$2:$M$367,B37-Giorni!$A$2+1))</f>
        <v>0</v>
      </c>
      <c r="M37" s="25" t="n">
        <f aca="false">IF(C37="","",INDEX(Giorni!$M$2:$M$367,C37-Giorni!$A$2+1))</f>
        <v>0</v>
      </c>
      <c r="N37" s="25" t="n">
        <f aca="false">IF(D37="","",INDEX(Giorni!$M$2:$M$367,D37-Giorni!$A$2+1))</f>
        <v>0</v>
      </c>
      <c r="O37" s="25" t="n">
        <f aca="false">IF(E37="","",INDEX(Giorni!$M$2:$M$367,E37-Giorni!$A$2+1))</f>
        <v>0</v>
      </c>
      <c r="P37" s="25" t="n">
        <f aca="false">IF(F37="","",INDEX(Giorni!$M$2:$M$367,F37-Giorni!$A$2+1))</f>
        <v>1</v>
      </c>
      <c r="Q37" s="25" t="n">
        <f aca="false">IF(G37="","",INDEX(Giorni!$M$2:$M$367,G37-Giorni!$A$2+1))</f>
        <v>1</v>
      </c>
    </row>
    <row r="38" customFormat="false" ht="27" hidden="false" customHeight="true" outlineLevel="0" collapsed="false">
      <c r="A38" s="26"/>
      <c r="B38" s="26"/>
      <c r="C38" s="26"/>
      <c r="D38" s="26"/>
      <c r="E38" s="26"/>
      <c r="F38" s="26"/>
      <c r="G38" s="26"/>
    </row>
    <row r="39" customFormat="false" ht="13.5" hidden="false" customHeight="true" outlineLevel="0" collapsed="false">
      <c r="A39" s="24" t="n">
        <f aca="false">IF(MONTH($J$29-WEEKDAY($J$29,2)+29)=MONTH($J$29),$J$29-WEEKDAY($J$29,2)+29,"")</f>
        <v>46349</v>
      </c>
      <c r="B39" s="24" t="n">
        <f aca="false">IF(MONTH($J$29-WEEKDAY($J$29,2)+30)=MONTH($J$29),$J$29-WEEKDAY($J$29,2)+30,"")</f>
        <v>46350</v>
      </c>
      <c r="C39" s="24" t="n">
        <f aca="false">IF(MONTH($J$29-WEEKDAY($J$29,2)+31)=MONTH($J$29),$J$29-WEEKDAY($J$29,2)+31,"")</f>
        <v>46351</v>
      </c>
      <c r="D39" s="24" t="n">
        <f aca="false">IF(MONTH($J$29-WEEKDAY($J$29,2)+32)=MONTH($J$29),$J$29-WEEKDAY($J$29,2)+32,"")</f>
        <v>46352</v>
      </c>
      <c r="E39" s="24" t="n">
        <f aca="false">IF(MONTH($J$29-WEEKDAY($J$29,2)+33)=MONTH($J$29),$J$29-WEEKDAY($J$29,2)+33,"")</f>
        <v>46353</v>
      </c>
      <c r="F39" s="24" t="n">
        <f aca="false">IF(MONTH($J$29-WEEKDAY($J$29,2)+34)=MONTH($J$29),$J$29-WEEKDAY($J$29,2)+34,"")</f>
        <v>46354</v>
      </c>
      <c r="G39" s="24" t="n">
        <f aca="false">IF(MONTH($J$29-WEEKDAY($J$29,2)+35)=MONTH($J$29),$J$29-WEEKDAY($J$29,2)+35,"")</f>
        <v>46355</v>
      </c>
      <c r="K39" s="25" t="n">
        <f aca="false">IF(A39="","",INDEX(Giorni!$M$2:$M$367,A39-Giorni!$A$2+1))</f>
        <v>0</v>
      </c>
      <c r="L39" s="25" t="n">
        <f aca="false">IF(B39="","",INDEX(Giorni!$M$2:$M$367,B39-Giorni!$A$2+1))</f>
        <v>0</v>
      </c>
      <c r="M39" s="25" t="n">
        <f aca="false">IF(C39="","",INDEX(Giorni!$M$2:$M$367,C39-Giorni!$A$2+1))</f>
        <v>0</v>
      </c>
      <c r="N39" s="25" t="n">
        <f aca="false">IF(D39="","",INDEX(Giorni!$M$2:$M$367,D39-Giorni!$A$2+1))</f>
        <v>0</v>
      </c>
      <c r="O39" s="25" t="n">
        <f aca="false">IF(E39="","",INDEX(Giorni!$M$2:$M$367,E39-Giorni!$A$2+1))</f>
        <v>0</v>
      </c>
      <c r="P39" s="25" t="n">
        <f aca="false">IF(F39="","",INDEX(Giorni!$M$2:$M$367,F39-Giorni!$A$2+1))</f>
        <v>1</v>
      </c>
      <c r="Q39" s="25" t="n">
        <f aca="false">IF(G39="","",INDEX(Giorni!$M$2:$M$367,G39-Giorni!$A$2+1))</f>
        <v>1</v>
      </c>
    </row>
    <row r="40" customFormat="false" ht="27" hidden="false" customHeight="true" outlineLevel="0" collapsed="false">
      <c r="A40" s="26"/>
      <c r="B40" s="26"/>
      <c r="C40" s="26"/>
      <c r="D40" s="26"/>
      <c r="E40" s="26"/>
      <c r="F40" s="26"/>
      <c r="G40" s="26"/>
    </row>
    <row r="41" customFormat="false" ht="13.5" hidden="false" customHeight="true" outlineLevel="0" collapsed="false">
      <c r="A41" s="24" t="n">
        <f aca="false">IF(MONTH($J$29-WEEKDAY($J$29,2)+36)=MONTH($J$29),$J$29-WEEKDAY($J$29,2)+36,"")</f>
        <v>46356</v>
      </c>
      <c r="B41" s="24" t="str">
        <f aca="false">IF(MONTH($J$29-WEEKDAY($J$29,2)+37)=MONTH($J$29),$J$29-WEEKDAY($J$29,2)+37,"")</f>
        <v/>
      </c>
      <c r="C41" s="24" t="str">
        <f aca="false">IF(MONTH($J$29-WEEKDAY($J$29,2)+38)=MONTH($J$29),$J$29-WEEKDAY($J$29,2)+38,"")</f>
        <v/>
      </c>
      <c r="D41" s="24" t="str">
        <f aca="false">IF(MONTH($J$29-WEEKDAY($J$29,2)+39)=MONTH($J$29),$J$29-WEEKDAY($J$29,2)+39,"")</f>
        <v/>
      </c>
      <c r="E41" s="24" t="str">
        <f aca="false">IF(MONTH($J$29-WEEKDAY($J$29,2)+40)=MONTH($J$29),$J$29-WEEKDAY($J$29,2)+40,"")</f>
        <v/>
      </c>
      <c r="F41" s="24" t="str">
        <f aca="false">IF(MONTH($J$29-WEEKDAY($J$29,2)+41)=MONTH($J$29),$J$29-WEEKDAY($J$29,2)+41,"")</f>
        <v/>
      </c>
      <c r="G41" s="24" t="str">
        <f aca="false">IF(MONTH($J$29-WEEKDAY($J$29,2)+42)=MONTH($J$29),$J$29-WEEKDAY($J$29,2)+42,"")</f>
        <v/>
      </c>
      <c r="K41" s="25" t="n">
        <f aca="false">IF(A41="","",INDEX(Giorni!$M$2:$M$367,A41-Giorni!$A$2+1))</f>
        <v>0</v>
      </c>
      <c r="L41" s="0" t="str">
        <f aca="false">IF(B41="","",INDEX(Giorni!$M$2:$M$367,B41-Giorni!$A$2+1))</f>
        <v/>
      </c>
      <c r="M41" s="0" t="str">
        <f aca="false">IF(C41="","",INDEX(Giorni!$M$2:$M$367,C41-Giorni!$A$2+1))</f>
        <v/>
      </c>
      <c r="N41" s="0" t="str">
        <f aca="false">IF(D41="","",INDEX(Giorni!$M$2:$M$367,D41-Giorni!$A$2+1))</f>
        <v/>
      </c>
      <c r="O41" s="0" t="str">
        <f aca="false">IF(E41="","",INDEX(Giorni!$M$2:$M$367,E41-Giorni!$A$2+1))</f>
        <v/>
      </c>
      <c r="P41" s="0" t="str">
        <f aca="false">IF(F41="","",INDEX(Giorni!$M$2:$M$367,F41-Giorni!$A$2+1))</f>
        <v/>
      </c>
      <c r="Q41" s="0" t="str">
        <f aca="false">IF(G41="","",INDEX(Giorni!$M$2:$M$367,G41-Giorni!$A$2+1))</f>
        <v/>
      </c>
    </row>
    <row r="42" customFormat="false" ht="27" hidden="false" customHeight="true" outlineLevel="0" collapsed="false">
      <c r="A42" s="26"/>
      <c r="B42" s="26"/>
      <c r="C42" s="26"/>
      <c r="D42" s="26"/>
      <c r="E42" s="26"/>
      <c r="F42" s="26"/>
      <c r="G42" s="26"/>
    </row>
    <row r="43" customFormat="false" ht="9.75" hidden="false" customHeight="true" outlineLevel="0" collapsed="false"/>
    <row r="44" customFormat="false" ht="24" hidden="false" customHeight="true" outlineLevel="0" collapsed="false">
      <c r="A44" s="21" t="str">
        <f aca="false">CHOOSE(MONTH($J44),"GENNAIO","FEBBRAIO","MARZO","APRILE","MAGGIO","GIUGNO","LUGLIO","AGOSTO","SETTEMBRE","OTTOBRE","NOVEMBRE","DICEMBRE")&amp;" "&amp;YEAR($J44)</f>
        <v>DICEMBRE 2026</v>
      </c>
      <c r="B44" s="21"/>
      <c r="C44" s="21"/>
      <c r="D44" s="21"/>
      <c r="E44" s="21"/>
      <c r="F44" s="21"/>
      <c r="G44" s="21"/>
      <c r="J44" s="25" t="n">
        <f aca="false">EDATE(J29,1)</f>
        <v>46357</v>
      </c>
    </row>
    <row r="45" customFormat="false" ht="15.75" hidden="false" customHeight="true" outlineLevel="0" collapsed="false">
      <c r="A45" s="22" t="s">
        <v>10</v>
      </c>
      <c r="B45" s="22" t="s">
        <v>11</v>
      </c>
      <c r="C45" s="22" t="s">
        <v>11</v>
      </c>
      <c r="D45" s="22" t="s">
        <v>6</v>
      </c>
      <c r="E45" s="22" t="s">
        <v>12</v>
      </c>
      <c r="F45" s="23" t="s">
        <v>13</v>
      </c>
      <c r="G45" s="23" t="s">
        <v>14</v>
      </c>
    </row>
    <row r="46" customFormat="false" ht="13.5" hidden="false" customHeight="true" outlineLevel="0" collapsed="false">
      <c r="A46" s="24" t="str">
        <f aca="false">IF(MONTH($J$44-WEEKDAY($J$44,2)+1)=MONTH($J$44),$J$44-WEEKDAY($J$44,2)+1,"")</f>
        <v/>
      </c>
      <c r="B46" s="24" t="n">
        <f aca="false">IF(MONTH($J$44-WEEKDAY($J$44,2)+2)=MONTH($J$44),$J$44-WEEKDAY($J$44,2)+2,"")</f>
        <v>46357</v>
      </c>
      <c r="C46" s="24" t="n">
        <f aca="false">IF(MONTH($J$44-WEEKDAY($J$44,2)+3)=MONTH($J$44),$J$44-WEEKDAY($J$44,2)+3,"")</f>
        <v>46358</v>
      </c>
      <c r="D46" s="24" t="n">
        <f aca="false">IF(MONTH($J$44-WEEKDAY($J$44,2)+4)=MONTH($J$44),$J$44-WEEKDAY($J$44,2)+4,"")</f>
        <v>46359</v>
      </c>
      <c r="E46" s="24" t="n">
        <f aca="false">IF(MONTH($J$44-WEEKDAY($J$44,2)+5)=MONTH($J$44),$J$44-WEEKDAY($J$44,2)+5,"")</f>
        <v>46360</v>
      </c>
      <c r="F46" s="24" t="n">
        <f aca="false">IF(MONTH($J$44-WEEKDAY($J$44,2)+6)=MONTH($J$44),$J$44-WEEKDAY($J$44,2)+6,"")</f>
        <v>46361</v>
      </c>
      <c r="G46" s="24" t="n">
        <f aca="false">IF(MONTH($J$44-WEEKDAY($J$44,2)+7)=MONTH($J$44),$J$44-WEEKDAY($J$44,2)+7,"")</f>
        <v>46362</v>
      </c>
      <c r="K46" s="0" t="str">
        <f aca="false">IF(A46="","",INDEX(Giorni!$M$2:$M$367,A46-Giorni!$A$2+1))</f>
        <v/>
      </c>
      <c r="L46" s="25" t="n">
        <f aca="false">IF(B46="","",INDEX(Giorni!$M$2:$M$367,B46-Giorni!$A$2+1))</f>
        <v>0</v>
      </c>
      <c r="M46" s="25" t="n">
        <f aca="false">IF(C46="","",INDEX(Giorni!$M$2:$M$367,C46-Giorni!$A$2+1))</f>
        <v>0</v>
      </c>
      <c r="N46" s="25" t="n">
        <f aca="false">IF(D46="","",INDEX(Giorni!$M$2:$M$367,D46-Giorni!$A$2+1))</f>
        <v>0</v>
      </c>
      <c r="O46" s="25" t="n">
        <f aca="false">IF(E46="","",INDEX(Giorni!$M$2:$M$367,E46-Giorni!$A$2+1))</f>
        <v>0</v>
      </c>
      <c r="P46" s="25" t="n">
        <f aca="false">IF(F46="","",INDEX(Giorni!$M$2:$M$367,F46-Giorni!$A$2+1))</f>
        <v>1</v>
      </c>
      <c r="Q46" s="25" t="n">
        <f aca="false">IF(G46="","",INDEX(Giorni!$M$2:$M$367,G46-Giorni!$A$2+1))</f>
        <v>1</v>
      </c>
    </row>
    <row r="47" customFormat="false" ht="27" hidden="false" customHeight="true" outlineLevel="0" collapsed="false">
      <c r="A47" s="26"/>
      <c r="B47" s="26"/>
      <c r="C47" s="26"/>
      <c r="D47" s="26"/>
      <c r="E47" s="26"/>
      <c r="F47" s="26"/>
      <c r="G47" s="26"/>
    </row>
    <row r="48" customFormat="false" ht="13.5" hidden="false" customHeight="true" outlineLevel="0" collapsed="false">
      <c r="A48" s="24" t="n">
        <f aca="false">IF(MONTH($J$44-WEEKDAY($J$44,2)+8)=MONTH($J$44),$J$44-WEEKDAY($J$44,2)+8,"")</f>
        <v>46363</v>
      </c>
      <c r="B48" s="24" t="n">
        <f aca="false">IF(MONTH($J$44-WEEKDAY($J$44,2)+9)=MONTH($J$44),$J$44-WEEKDAY($J$44,2)+9,"")</f>
        <v>46364</v>
      </c>
      <c r="C48" s="24" t="n">
        <f aca="false">IF(MONTH($J$44-WEEKDAY($J$44,2)+10)=MONTH($J$44),$J$44-WEEKDAY($J$44,2)+10,"")</f>
        <v>46365</v>
      </c>
      <c r="D48" s="24" t="n">
        <f aca="false">IF(MONTH($J$44-WEEKDAY($J$44,2)+11)=MONTH($J$44),$J$44-WEEKDAY($J$44,2)+11,"")</f>
        <v>46366</v>
      </c>
      <c r="E48" s="24" t="n">
        <f aca="false">IF(MONTH($J$44-WEEKDAY($J$44,2)+12)=MONTH($J$44),$J$44-WEEKDAY($J$44,2)+12,"")</f>
        <v>46367</v>
      </c>
      <c r="F48" s="24" t="n">
        <f aca="false">IF(MONTH($J$44-WEEKDAY($J$44,2)+13)=MONTH($J$44),$J$44-WEEKDAY($J$44,2)+13,"")</f>
        <v>46368</v>
      </c>
      <c r="G48" s="24" t="n">
        <f aca="false">IF(MONTH($J$44-WEEKDAY($J$44,2)+14)=MONTH($J$44),$J$44-WEEKDAY($J$44,2)+14,"")</f>
        <v>46369</v>
      </c>
      <c r="K48" s="25" t="n">
        <f aca="false">IF(A48="","",INDEX(Giorni!$M$2:$M$367,A48-Giorni!$A$2+1))</f>
        <v>0</v>
      </c>
      <c r="L48" s="25" t="n">
        <f aca="false">IF(B48="","",INDEX(Giorni!$M$2:$M$367,B48-Giorni!$A$2+1))</f>
        <v>2</v>
      </c>
      <c r="M48" s="25" t="n">
        <f aca="false">IF(C48="","",INDEX(Giorni!$M$2:$M$367,C48-Giorni!$A$2+1))</f>
        <v>0</v>
      </c>
      <c r="N48" s="25" t="n">
        <f aca="false">IF(D48="","",INDEX(Giorni!$M$2:$M$367,D48-Giorni!$A$2+1))</f>
        <v>0</v>
      </c>
      <c r="O48" s="25" t="n">
        <f aca="false">IF(E48="","",INDEX(Giorni!$M$2:$M$367,E48-Giorni!$A$2+1))</f>
        <v>0</v>
      </c>
      <c r="P48" s="25" t="n">
        <f aca="false">IF(F48="","",INDEX(Giorni!$M$2:$M$367,F48-Giorni!$A$2+1))</f>
        <v>1</v>
      </c>
      <c r="Q48" s="25" t="n">
        <f aca="false">IF(G48="","",INDEX(Giorni!$M$2:$M$367,G48-Giorni!$A$2+1))</f>
        <v>1</v>
      </c>
    </row>
    <row r="49" customFormat="false" ht="27" hidden="false" customHeight="true" outlineLevel="0" collapsed="false">
      <c r="A49" s="26"/>
      <c r="B49" s="26"/>
      <c r="C49" s="26"/>
      <c r="D49" s="26"/>
      <c r="E49" s="26"/>
      <c r="F49" s="26"/>
      <c r="G49" s="26"/>
    </row>
    <row r="50" customFormat="false" ht="13.5" hidden="false" customHeight="true" outlineLevel="0" collapsed="false">
      <c r="A50" s="24" t="n">
        <f aca="false">IF(MONTH($J$44-WEEKDAY($J$44,2)+15)=MONTH($J$44),$J$44-WEEKDAY($J$44,2)+15,"")</f>
        <v>46370</v>
      </c>
      <c r="B50" s="24" t="n">
        <f aca="false">IF(MONTH($J$44-WEEKDAY($J$44,2)+16)=MONTH($J$44),$J$44-WEEKDAY($J$44,2)+16,"")</f>
        <v>46371</v>
      </c>
      <c r="C50" s="24" t="n">
        <f aca="false">IF(MONTH($J$44-WEEKDAY($J$44,2)+17)=MONTH($J$44),$J$44-WEEKDAY($J$44,2)+17,"")</f>
        <v>46372</v>
      </c>
      <c r="D50" s="24" t="n">
        <f aca="false">IF(MONTH($J$44-WEEKDAY($J$44,2)+18)=MONTH($J$44),$J$44-WEEKDAY($J$44,2)+18,"")</f>
        <v>46373</v>
      </c>
      <c r="E50" s="24" t="n">
        <f aca="false">IF(MONTH($J$44-WEEKDAY($J$44,2)+19)=MONTH($J$44),$J$44-WEEKDAY($J$44,2)+19,"")</f>
        <v>46374</v>
      </c>
      <c r="F50" s="24" t="n">
        <f aca="false">IF(MONTH($J$44-WEEKDAY($J$44,2)+20)=MONTH($J$44),$J$44-WEEKDAY($J$44,2)+20,"")</f>
        <v>46375</v>
      </c>
      <c r="G50" s="24" t="n">
        <f aca="false">IF(MONTH($J$44-WEEKDAY($J$44,2)+21)=MONTH($J$44),$J$44-WEEKDAY($J$44,2)+21,"")</f>
        <v>46376</v>
      </c>
      <c r="K50" s="25" t="n">
        <f aca="false">IF(A50="","",INDEX(Giorni!$M$2:$M$367,A50-Giorni!$A$2+1))</f>
        <v>0</v>
      </c>
      <c r="L50" s="25" t="n">
        <f aca="false">IF(B50="","",INDEX(Giorni!$M$2:$M$367,B50-Giorni!$A$2+1))</f>
        <v>0</v>
      </c>
      <c r="M50" s="25" t="n">
        <f aca="false">IF(C50="","",INDEX(Giorni!$M$2:$M$367,C50-Giorni!$A$2+1))</f>
        <v>0</v>
      </c>
      <c r="N50" s="25" t="n">
        <f aca="false">IF(D50="","",INDEX(Giorni!$M$2:$M$367,D50-Giorni!$A$2+1))</f>
        <v>0</v>
      </c>
      <c r="O50" s="25" t="n">
        <f aca="false">IF(E50="","",INDEX(Giorni!$M$2:$M$367,E50-Giorni!$A$2+1))</f>
        <v>0</v>
      </c>
      <c r="P50" s="25" t="n">
        <f aca="false">IF(F50="","",INDEX(Giorni!$M$2:$M$367,F50-Giorni!$A$2+1))</f>
        <v>1</v>
      </c>
      <c r="Q50" s="25" t="n">
        <f aca="false">IF(G50="","",INDEX(Giorni!$M$2:$M$367,G50-Giorni!$A$2+1))</f>
        <v>1</v>
      </c>
    </row>
    <row r="51" customFormat="false" ht="27" hidden="false" customHeight="true" outlineLevel="0" collapsed="false">
      <c r="A51" s="26"/>
      <c r="B51" s="26"/>
      <c r="C51" s="26"/>
      <c r="D51" s="26"/>
      <c r="E51" s="26"/>
      <c r="F51" s="26"/>
      <c r="G51" s="26"/>
    </row>
    <row r="52" customFormat="false" ht="13.5" hidden="false" customHeight="true" outlineLevel="0" collapsed="false">
      <c r="A52" s="24" t="n">
        <f aca="false">IF(MONTH($J$44-WEEKDAY($J$44,2)+22)=MONTH($J$44),$J$44-WEEKDAY($J$44,2)+22,"")</f>
        <v>46377</v>
      </c>
      <c r="B52" s="24" t="n">
        <f aca="false">IF(MONTH($J$44-WEEKDAY($J$44,2)+23)=MONTH($J$44),$J$44-WEEKDAY($J$44,2)+23,"")</f>
        <v>46378</v>
      </c>
      <c r="C52" s="24" t="n">
        <f aca="false">IF(MONTH($J$44-WEEKDAY($J$44,2)+24)=MONTH($J$44),$J$44-WEEKDAY($J$44,2)+24,"")</f>
        <v>46379</v>
      </c>
      <c r="D52" s="24" t="n">
        <f aca="false">IF(MONTH($J$44-WEEKDAY($J$44,2)+25)=MONTH($J$44),$J$44-WEEKDAY($J$44,2)+25,"")</f>
        <v>46380</v>
      </c>
      <c r="E52" s="24" t="n">
        <f aca="false">IF(MONTH($J$44-WEEKDAY($J$44,2)+26)=MONTH($J$44),$J$44-WEEKDAY($J$44,2)+26,"")</f>
        <v>46381</v>
      </c>
      <c r="F52" s="24" t="n">
        <f aca="false">IF(MONTH($J$44-WEEKDAY($J$44,2)+27)=MONTH($J$44),$J$44-WEEKDAY($J$44,2)+27,"")</f>
        <v>46382</v>
      </c>
      <c r="G52" s="24" t="n">
        <f aca="false">IF(MONTH($J$44-WEEKDAY($J$44,2)+28)=MONTH($J$44),$J$44-WEEKDAY($J$44,2)+28,"")</f>
        <v>46383</v>
      </c>
      <c r="K52" s="25" t="n">
        <f aca="false">IF(A52="","",INDEX(Giorni!$M$2:$M$367,A52-Giorni!$A$2+1))</f>
        <v>0</v>
      </c>
      <c r="L52" s="25" t="n">
        <f aca="false">IF(B52="","",INDEX(Giorni!$M$2:$M$367,B52-Giorni!$A$2+1))</f>
        <v>0</v>
      </c>
      <c r="M52" s="25" t="n">
        <f aca="false">IF(C52="","",INDEX(Giorni!$M$2:$M$367,C52-Giorni!$A$2+1))</f>
        <v>2</v>
      </c>
      <c r="N52" s="25" t="n">
        <f aca="false">IF(D52="","",INDEX(Giorni!$M$2:$M$367,D52-Giorni!$A$2+1))</f>
        <v>2</v>
      </c>
      <c r="O52" s="25" t="n">
        <f aca="false">IF(E52="","",INDEX(Giorni!$M$2:$M$367,E52-Giorni!$A$2+1))</f>
        <v>2</v>
      </c>
      <c r="P52" s="25" t="n">
        <f aca="false">IF(F52="","",INDEX(Giorni!$M$2:$M$367,F52-Giorni!$A$2+1))</f>
        <v>2</v>
      </c>
      <c r="Q52" s="25" t="n">
        <f aca="false">IF(G52="","",INDEX(Giorni!$M$2:$M$367,G52-Giorni!$A$2+1))</f>
        <v>2</v>
      </c>
    </row>
    <row r="53" customFormat="false" ht="27" hidden="false" customHeight="true" outlineLevel="0" collapsed="false">
      <c r="A53" s="26"/>
      <c r="B53" s="26"/>
      <c r="C53" s="26"/>
      <c r="D53" s="26"/>
      <c r="E53" s="26"/>
      <c r="F53" s="26"/>
      <c r="G53" s="26"/>
    </row>
    <row r="54" customFormat="false" ht="13.5" hidden="false" customHeight="true" outlineLevel="0" collapsed="false">
      <c r="A54" s="24" t="n">
        <f aca="false">IF(MONTH($J$44-WEEKDAY($J$44,2)+29)=MONTH($J$44),$J$44-WEEKDAY($J$44,2)+29,"")</f>
        <v>46384</v>
      </c>
      <c r="B54" s="24" t="n">
        <f aca="false">IF(MONTH($J$44-WEEKDAY($J$44,2)+30)=MONTH($J$44),$J$44-WEEKDAY($J$44,2)+30,"")</f>
        <v>46385</v>
      </c>
      <c r="C54" s="24" t="n">
        <f aca="false">IF(MONTH($J$44-WEEKDAY($J$44,2)+31)=MONTH($J$44),$J$44-WEEKDAY($J$44,2)+31,"")</f>
        <v>46386</v>
      </c>
      <c r="D54" s="24" t="n">
        <f aca="false">IF(MONTH($J$44-WEEKDAY($J$44,2)+32)=MONTH($J$44),$J$44-WEEKDAY($J$44,2)+32,"")</f>
        <v>46387</v>
      </c>
      <c r="E54" s="24" t="str">
        <f aca="false">IF(MONTH($J$44-WEEKDAY($J$44,2)+33)=MONTH($J$44),$J$44-WEEKDAY($J$44,2)+33,"")</f>
        <v/>
      </c>
      <c r="F54" s="24" t="str">
        <f aca="false">IF(MONTH($J$44-WEEKDAY($J$44,2)+34)=MONTH($J$44),$J$44-WEEKDAY($J$44,2)+34,"")</f>
        <v/>
      </c>
      <c r="G54" s="24" t="str">
        <f aca="false">IF(MONTH($J$44-WEEKDAY($J$44,2)+35)=MONTH($J$44),$J$44-WEEKDAY($J$44,2)+35,"")</f>
        <v/>
      </c>
      <c r="K54" s="25" t="n">
        <f aca="false">IF(A54="","",INDEX(Giorni!$M$2:$M$367,A54-Giorni!$A$2+1))</f>
        <v>2</v>
      </c>
      <c r="L54" s="25" t="n">
        <f aca="false">IF(B54="","",INDEX(Giorni!$M$2:$M$367,B54-Giorni!$A$2+1))</f>
        <v>2</v>
      </c>
      <c r="M54" s="25" t="n">
        <f aca="false">IF(C54="","",INDEX(Giorni!$M$2:$M$367,C54-Giorni!$A$2+1))</f>
        <v>2</v>
      </c>
      <c r="N54" s="25" t="n">
        <f aca="false">IF(D54="","",INDEX(Giorni!$M$2:$M$367,D54-Giorni!$A$2+1))</f>
        <v>2</v>
      </c>
      <c r="O54" s="0" t="str">
        <f aca="false">IF(E54="","",INDEX(Giorni!$M$2:$M$367,E54-Giorni!$A$2+1))</f>
        <v/>
      </c>
      <c r="P54" s="0" t="str">
        <f aca="false">IF(F54="","",INDEX(Giorni!$M$2:$M$367,F54-Giorni!$A$2+1))</f>
        <v/>
      </c>
      <c r="Q54" s="0" t="str">
        <f aca="false">IF(G54="","",INDEX(Giorni!$M$2:$M$367,G54-Giorni!$A$2+1))</f>
        <v/>
      </c>
    </row>
    <row r="55" customFormat="false" ht="27" hidden="false" customHeight="true" outlineLevel="0" collapsed="false">
      <c r="A55" s="26"/>
      <c r="B55" s="26"/>
      <c r="C55" s="26"/>
      <c r="D55" s="26"/>
      <c r="E55" s="26"/>
      <c r="F55" s="26"/>
      <c r="G55" s="26"/>
    </row>
    <row r="56" customFormat="false" ht="13.5" hidden="false" customHeight="true" outlineLevel="0" collapsed="false">
      <c r="A56" s="24" t="str">
        <f aca="false">IF(MONTH($J$44-WEEKDAY($J$44,2)+36)=MONTH($J$44),$J$44-WEEKDAY($J$44,2)+36,"")</f>
        <v/>
      </c>
      <c r="B56" s="24" t="str">
        <f aca="false">IF(MONTH($J$44-WEEKDAY($J$44,2)+37)=MONTH($J$44),$J$44-WEEKDAY($J$44,2)+37,"")</f>
        <v/>
      </c>
      <c r="C56" s="24" t="str">
        <f aca="false">IF(MONTH($J$44-WEEKDAY($J$44,2)+38)=MONTH($J$44),$J$44-WEEKDAY($J$44,2)+38,"")</f>
        <v/>
      </c>
      <c r="D56" s="24" t="str">
        <f aca="false">IF(MONTH($J$44-WEEKDAY($J$44,2)+39)=MONTH($J$44),$J$44-WEEKDAY($J$44,2)+39,"")</f>
        <v/>
      </c>
      <c r="E56" s="24" t="str">
        <f aca="false">IF(MONTH($J$44-WEEKDAY($J$44,2)+40)=MONTH($J$44),$J$44-WEEKDAY($J$44,2)+40,"")</f>
        <v/>
      </c>
      <c r="F56" s="24" t="str">
        <f aca="false">IF(MONTH($J$44-WEEKDAY($J$44,2)+41)=MONTH($J$44),$J$44-WEEKDAY($J$44,2)+41,"")</f>
        <v/>
      </c>
      <c r="G56" s="24" t="str">
        <f aca="false">IF(MONTH($J$44-WEEKDAY($J$44,2)+42)=MONTH($J$44),$J$44-WEEKDAY($J$44,2)+42,"")</f>
        <v/>
      </c>
      <c r="K56" s="0" t="str">
        <f aca="false">IF(A56="","",INDEX(Giorni!$M$2:$M$367,A56-Giorni!$A$2+1))</f>
        <v/>
      </c>
      <c r="L56" s="0" t="str">
        <f aca="false">IF(B56="","",INDEX(Giorni!$M$2:$M$367,B56-Giorni!$A$2+1))</f>
        <v/>
      </c>
      <c r="M56" s="0" t="str">
        <f aca="false">IF(C56="","",INDEX(Giorni!$M$2:$M$367,C56-Giorni!$A$2+1))</f>
        <v/>
      </c>
      <c r="N56" s="0" t="str">
        <f aca="false">IF(D56="","",INDEX(Giorni!$M$2:$M$367,D56-Giorni!$A$2+1))</f>
        <v/>
      </c>
      <c r="O56" s="0" t="str">
        <f aca="false">IF(E56="","",INDEX(Giorni!$M$2:$M$367,E56-Giorni!$A$2+1))</f>
        <v/>
      </c>
      <c r="P56" s="0" t="str">
        <f aca="false">IF(F56="","",INDEX(Giorni!$M$2:$M$367,F56-Giorni!$A$2+1))</f>
        <v/>
      </c>
      <c r="Q56" s="0" t="str">
        <f aca="false">IF(G56="","",INDEX(Giorni!$M$2:$M$367,G56-Giorni!$A$2+1))</f>
        <v/>
      </c>
    </row>
    <row r="57" customFormat="false" ht="27" hidden="false" customHeight="true" outlineLevel="0" collapsed="false">
      <c r="A57" s="26"/>
      <c r="B57" s="26"/>
      <c r="C57" s="26"/>
      <c r="D57" s="26"/>
      <c r="E57" s="26"/>
      <c r="F57" s="26"/>
      <c r="G57" s="26"/>
    </row>
    <row r="58" customFormat="false" ht="9.75" hidden="false" customHeight="true" outlineLevel="0" collapsed="false"/>
    <row r="59" customFormat="false" ht="24" hidden="false" customHeight="true" outlineLevel="0" collapsed="false">
      <c r="A59" s="21" t="str">
        <f aca="false">CHOOSE(MONTH($J59),"GENNAIO","FEBBRAIO","MARZO","APRILE","MAGGIO","GIUGNO","LUGLIO","AGOSTO","SETTEMBRE","OTTOBRE","NOVEMBRE","DICEMBRE")&amp;" "&amp;YEAR($J59)</f>
        <v>GENNAIO 2027</v>
      </c>
      <c r="B59" s="21"/>
      <c r="C59" s="21"/>
      <c r="D59" s="21"/>
      <c r="E59" s="21"/>
      <c r="F59" s="21"/>
      <c r="G59" s="21"/>
      <c r="J59" s="25" t="n">
        <f aca="false">EDATE(J44,1)</f>
        <v>46388</v>
      </c>
    </row>
    <row r="60" customFormat="false" ht="15.75" hidden="false" customHeight="true" outlineLevel="0" collapsed="false">
      <c r="A60" s="22" t="s">
        <v>10</v>
      </c>
      <c r="B60" s="22" t="s">
        <v>11</v>
      </c>
      <c r="C60" s="22" t="s">
        <v>11</v>
      </c>
      <c r="D60" s="22" t="s">
        <v>6</v>
      </c>
      <c r="E60" s="22" t="s">
        <v>12</v>
      </c>
      <c r="F60" s="23" t="s">
        <v>13</v>
      </c>
      <c r="G60" s="23" t="s">
        <v>14</v>
      </c>
    </row>
    <row r="61" customFormat="false" ht="13.5" hidden="false" customHeight="true" outlineLevel="0" collapsed="false">
      <c r="A61" s="24" t="str">
        <f aca="false">IF(MONTH($J$59-WEEKDAY($J$59,2)+1)=MONTH($J$59),$J$59-WEEKDAY($J$59,2)+1,"")</f>
        <v/>
      </c>
      <c r="B61" s="24" t="str">
        <f aca="false">IF(MONTH($J$59-WEEKDAY($J$59,2)+2)=MONTH($J$59),$J$59-WEEKDAY($J$59,2)+2,"")</f>
        <v/>
      </c>
      <c r="C61" s="24" t="str">
        <f aca="false">IF(MONTH($J$59-WEEKDAY($J$59,2)+3)=MONTH($J$59),$J$59-WEEKDAY($J$59,2)+3,"")</f>
        <v/>
      </c>
      <c r="D61" s="24" t="str">
        <f aca="false">IF(MONTH($J$59-WEEKDAY($J$59,2)+4)=MONTH($J$59),$J$59-WEEKDAY($J$59,2)+4,"")</f>
        <v/>
      </c>
      <c r="E61" s="24" t="n">
        <f aca="false">IF(MONTH($J$59-WEEKDAY($J$59,2)+5)=MONTH($J$59),$J$59-WEEKDAY($J$59,2)+5,"")</f>
        <v>46388</v>
      </c>
      <c r="F61" s="24" t="n">
        <f aca="false">IF(MONTH($J$59-WEEKDAY($J$59,2)+6)=MONTH($J$59),$J$59-WEEKDAY($J$59,2)+6,"")</f>
        <v>46389</v>
      </c>
      <c r="G61" s="24" t="n">
        <f aca="false">IF(MONTH($J$59-WEEKDAY($J$59,2)+7)=MONTH($J$59),$J$59-WEEKDAY($J$59,2)+7,"")</f>
        <v>46390</v>
      </c>
      <c r="K61" s="0" t="str">
        <f aca="false">IF(A61="","",INDEX(Giorni!$M$2:$M$367,A61-Giorni!$A$2+1))</f>
        <v/>
      </c>
      <c r="L61" s="0" t="str">
        <f aca="false">IF(B61="","",INDEX(Giorni!$M$2:$M$367,B61-Giorni!$A$2+1))</f>
        <v/>
      </c>
      <c r="M61" s="0" t="str">
        <f aca="false">IF(C61="","",INDEX(Giorni!$M$2:$M$367,C61-Giorni!$A$2+1))</f>
        <v/>
      </c>
      <c r="N61" s="0" t="str">
        <f aca="false">IF(D61="","",INDEX(Giorni!$M$2:$M$367,D61-Giorni!$A$2+1))</f>
        <v/>
      </c>
      <c r="O61" s="25" t="n">
        <f aca="false">IF(E61="","",INDEX(Giorni!$M$2:$M$367,E61-Giorni!$A$2+1))</f>
        <v>2</v>
      </c>
      <c r="P61" s="25" t="n">
        <f aca="false">IF(F61="","",INDEX(Giorni!$M$2:$M$367,F61-Giorni!$A$2+1))</f>
        <v>2</v>
      </c>
      <c r="Q61" s="25" t="n">
        <f aca="false">IF(G61="","",INDEX(Giorni!$M$2:$M$367,G61-Giorni!$A$2+1))</f>
        <v>2</v>
      </c>
    </row>
    <row r="62" customFormat="false" ht="27" hidden="false" customHeight="true" outlineLevel="0" collapsed="false">
      <c r="A62" s="26"/>
      <c r="B62" s="26"/>
      <c r="C62" s="26"/>
      <c r="D62" s="26"/>
      <c r="E62" s="26"/>
      <c r="F62" s="26"/>
      <c r="G62" s="26"/>
    </row>
    <row r="63" customFormat="false" ht="13.5" hidden="false" customHeight="true" outlineLevel="0" collapsed="false">
      <c r="A63" s="24" t="n">
        <f aca="false">IF(MONTH($J$59-WEEKDAY($J$59,2)+8)=MONTH($J$59),$J$59-WEEKDAY($J$59,2)+8,"")</f>
        <v>46391</v>
      </c>
      <c r="B63" s="24" t="n">
        <f aca="false">IF(MONTH($J$59-WEEKDAY($J$59,2)+9)=MONTH($J$59),$J$59-WEEKDAY($J$59,2)+9,"")</f>
        <v>46392</v>
      </c>
      <c r="C63" s="24" t="n">
        <f aca="false">IF(MONTH($J$59-WEEKDAY($J$59,2)+10)=MONTH($J$59),$J$59-WEEKDAY($J$59,2)+10,"")</f>
        <v>46393</v>
      </c>
      <c r="D63" s="24" t="n">
        <f aca="false">IF(MONTH($J$59-WEEKDAY($J$59,2)+11)=MONTH($J$59),$J$59-WEEKDAY($J$59,2)+11,"")</f>
        <v>46394</v>
      </c>
      <c r="E63" s="24" t="n">
        <f aca="false">IF(MONTH($J$59-WEEKDAY($J$59,2)+12)=MONTH($J$59),$J$59-WEEKDAY($J$59,2)+12,"")</f>
        <v>46395</v>
      </c>
      <c r="F63" s="24" t="n">
        <f aca="false">IF(MONTH($J$59-WEEKDAY($J$59,2)+13)=MONTH($J$59),$J$59-WEEKDAY($J$59,2)+13,"")</f>
        <v>46396</v>
      </c>
      <c r="G63" s="24" t="n">
        <f aca="false">IF(MONTH($J$59-WEEKDAY($J$59,2)+14)=MONTH($J$59),$J$59-WEEKDAY($J$59,2)+14,"")</f>
        <v>46397</v>
      </c>
      <c r="K63" s="25" t="n">
        <f aca="false">IF(A63="","",INDEX(Giorni!$M$2:$M$367,A63-Giorni!$A$2+1))</f>
        <v>2</v>
      </c>
      <c r="L63" s="25" t="n">
        <f aca="false">IF(B63="","",INDEX(Giorni!$M$2:$M$367,B63-Giorni!$A$2+1))</f>
        <v>2</v>
      </c>
      <c r="M63" s="25" t="n">
        <f aca="false">IF(C63="","",INDEX(Giorni!$M$2:$M$367,C63-Giorni!$A$2+1))</f>
        <v>2</v>
      </c>
      <c r="N63" s="25" t="n">
        <f aca="false">IF(D63="","",INDEX(Giorni!$M$2:$M$367,D63-Giorni!$A$2+1))</f>
        <v>0</v>
      </c>
      <c r="O63" s="25" t="n">
        <f aca="false">IF(E63="","",INDEX(Giorni!$M$2:$M$367,E63-Giorni!$A$2+1))</f>
        <v>0</v>
      </c>
      <c r="P63" s="25" t="n">
        <f aca="false">IF(F63="","",INDEX(Giorni!$M$2:$M$367,F63-Giorni!$A$2+1))</f>
        <v>1</v>
      </c>
      <c r="Q63" s="25" t="n">
        <f aca="false">IF(G63="","",INDEX(Giorni!$M$2:$M$367,G63-Giorni!$A$2+1))</f>
        <v>1</v>
      </c>
    </row>
    <row r="64" customFormat="false" ht="27" hidden="false" customHeight="true" outlineLevel="0" collapsed="false">
      <c r="A64" s="26"/>
      <c r="B64" s="26"/>
      <c r="C64" s="26"/>
      <c r="D64" s="26"/>
      <c r="E64" s="26"/>
      <c r="F64" s="26"/>
      <c r="G64" s="26"/>
    </row>
    <row r="65" customFormat="false" ht="13.5" hidden="false" customHeight="true" outlineLevel="0" collapsed="false">
      <c r="A65" s="24" t="n">
        <f aca="false">IF(MONTH($J$59-WEEKDAY($J$59,2)+15)=MONTH($J$59),$J$59-WEEKDAY($J$59,2)+15,"")</f>
        <v>46398</v>
      </c>
      <c r="B65" s="24" t="n">
        <f aca="false">IF(MONTH($J$59-WEEKDAY($J$59,2)+16)=MONTH($J$59),$J$59-WEEKDAY($J$59,2)+16,"")</f>
        <v>46399</v>
      </c>
      <c r="C65" s="24" t="n">
        <f aca="false">IF(MONTH($J$59-WEEKDAY($J$59,2)+17)=MONTH($J$59),$J$59-WEEKDAY($J$59,2)+17,"")</f>
        <v>46400</v>
      </c>
      <c r="D65" s="24" t="n">
        <f aca="false">IF(MONTH($J$59-WEEKDAY($J$59,2)+18)=MONTH($J$59),$J$59-WEEKDAY($J$59,2)+18,"")</f>
        <v>46401</v>
      </c>
      <c r="E65" s="24" t="n">
        <f aca="false">IF(MONTH($J$59-WEEKDAY($J$59,2)+19)=MONTH($J$59),$J$59-WEEKDAY($J$59,2)+19,"")</f>
        <v>46402</v>
      </c>
      <c r="F65" s="24" t="n">
        <f aca="false">IF(MONTH($J$59-WEEKDAY($J$59,2)+20)=MONTH($J$59),$J$59-WEEKDAY($J$59,2)+20,"")</f>
        <v>46403</v>
      </c>
      <c r="G65" s="24" t="n">
        <f aca="false">IF(MONTH($J$59-WEEKDAY($J$59,2)+21)=MONTH($J$59),$J$59-WEEKDAY($J$59,2)+21,"")</f>
        <v>46404</v>
      </c>
      <c r="K65" s="25" t="n">
        <f aca="false">IF(A65="","",INDEX(Giorni!$M$2:$M$367,A65-Giorni!$A$2+1))</f>
        <v>0</v>
      </c>
      <c r="L65" s="25" t="n">
        <f aca="false">IF(B65="","",INDEX(Giorni!$M$2:$M$367,B65-Giorni!$A$2+1))</f>
        <v>0</v>
      </c>
      <c r="M65" s="25" t="n">
        <f aca="false">IF(C65="","",INDEX(Giorni!$M$2:$M$367,C65-Giorni!$A$2+1))</f>
        <v>0</v>
      </c>
      <c r="N65" s="25" t="n">
        <f aca="false">IF(D65="","",INDEX(Giorni!$M$2:$M$367,D65-Giorni!$A$2+1))</f>
        <v>0</v>
      </c>
      <c r="O65" s="25" t="n">
        <f aca="false">IF(E65="","",INDEX(Giorni!$M$2:$M$367,E65-Giorni!$A$2+1))</f>
        <v>0</v>
      </c>
      <c r="P65" s="25" t="n">
        <f aca="false">IF(F65="","",INDEX(Giorni!$M$2:$M$367,F65-Giorni!$A$2+1))</f>
        <v>1</v>
      </c>
      <c r="Q65" s="25" t="n">
        <f aca="false">IF(G65="","",INDEX(Giorni!$M$2:$M$367,G65-Giorni!$A$2+1))</f>
        <v>1</v>
      </c>
    </row>
    <row r="66" customFormat="false" ht="27" hidden="false" customHeight="true" outlineLevel="0" collapsed="false">
      <c r="A66" s="26"/>
      <c r="B66" s="26"/>
      <c r="C66" s="26"/>
      <c r="D66" s="26"/>
      <c r="E66" s="26"/>
      <c r="F66" s="26"/>
      <c r="G66" s="26"/>
    </row>
    <row r="67" customFormat="false" ht="13.5" hidden="false" customHeight="true" outlineLevel="0" collapsed="false">
      <c r="A67" s="24" t="n">
        <f aca="false">IF(MONTH($J$59-WEEKDAY($J$59,2)+22)=MONTH($J$59),$J$59-WEEKDAY($J$59,2)+22,"")</f>
        <v>46405</v>
      </c>
      <c r="B67" s="24" t="n">
        <f aca="false">IF(MONTH($J$59-WEEKDAY($J$59,2)+23)=MONTH($J$59),$J$59-WEEKDAY($J$59,2)+23,"")</f>
        <v>46406</v>
      </c>
      <c r="C67" s="24" t="n">
        <f aca="false">IF(MONTH($J$59-WEEKDAY($J$59,2)+24)=MONTH($J$59),$J$59-WEEKDAY($J$59,2)+24,"")</f>
        <v>46407</v>
      </c>
      <c r="D67" s="24" t="n">
        <f aca="false">IF(MONTH($J$59-WEEKDAY($J$59,2)+25)=MONTH($J$59),$J$59-WEEKDAY($J$59,2)+25,"")</f>
        <v>46408</v>
      </c>
      <c r="E67" s="24" t="n">
        <f aca="false">IF(MONTH($J$59-WEEKDAY($J$59,2)+26)=MONTH($J$59),$J$59-WEEKDAY($J$59,2)+26,"")</f>
        <v>46409</v>
      </c>
      <c r="F67" s="24" t="n">
        <f aca="false">IF(MONTH($J$59-WEEKDAY($J$59,2)+27)=MONTH($J$59),$J$59-WEEKDAY($J$59,2)+27,"")</f>
        <v>46410</v>
      </c>
      <c r="G67" s="24" t="n">
        <f aca="false">IF(MONTH($J$59-WEEKDAY($J$59,2)+28)=MONTH($J$59),$J$59-WEEKDAY($J$59,2)+28,"")</f>
        <v>46411</v>
      </c>
      <c r="K67" s="25" t="n">
        <f aca="false">IF(A67="","",INDEX(Giorni!$M$2:$M$367,A67-Giorni!$A$2+1))</f>
        <v>0</v>
      </c>
      <c r="L67" s="25" t="n">
        <f aca="false">IF(B67="","",INDEX(Giorni!$M$2:$M$367,B67-Giorni!$A$2+1))</f>
        <v>0</v>
      </c>
      <c r="M67" s="25" t="n">
        <f aca="false">IF(C67="","",INDEX(Giorni!$M$2:$M$367,C67-Giorni!$A$2+1))</f>
        <v>0</v>
      </c>
      <c r="N67" s="25" t="n">
        <f aca="false">IF(D67="","",INDEX(Giorni!$M$2:$M$367,D67-Giorni!$A$2+1))</f>
        <v>0</v>
      </c>
      <c r="O67" s="25" t="n">
        <f aca="false">IF(E67="","",INDEX(Giorni!$M$2:$M$367,E67-Giorni!$A$2+1))</f>
        <v>0</v>
      </c>
      <c r="P67" s="25" t="n">
        <f aca="false">IF(F67="","",INDEX(Giorni!$M$2:$M$367,F67-Giorni!$A$2+1))</f>
        <v>1</v>
      </c>
      <c r="Q67" s="25" t="n">
        <f aca="false">IF(G67="","",INDEX(Giorni!$M$2:$M$367,G67-Giorni!$A$2+1))</f>
        <v>1</v>
      </c>
    </row>
    <row r="68" customFormat="false" ht="27" hidden="false" customHeight="true" outlineLevel="0" collapsed="false">
      <c r="A68" s="26"/>
      <c r="B68" s="26"/>
      <c r="C68" s="26"/>
      <c r="D68" s="26"/>
      <c r="E68" s="26"/>
      <c r="F68" s="26"/>
      <c r="G68" s="26"/>
    </row>
    <row r="69" customFormat="false" ht="13.5" hidden="false" customHeight="true" outlineLevel="0" collapsed="false">
      <c r="A69" s="24" t="n">
        <f aca="false">IF(MONTH($J$59-WEEKDAY($J$59,2)+29)=MONTH($J$59),$J$59-WEEKDAY($J$59,2)+29,"")</f>
        <v>46412</v>
      </c>
      <c r="B69" s="24" t="n">
        <f aca="false">IF(MONTH($J$59-WEEKDAY($J$59,2)+30)=MONTH($J$59),$J$59-WEEKDAY($J$59,2)+30,"")</f>
        <v>46413</v>
      </c>
      <c r="C69" s="24" t="n">
        <f aca="false">IF(MONTH($J$59-WEEKDAY($J$59,2)+31)=MONTH($J$59),$J$59-WEEKDAY($J$59,2)+31,"")</f>
        <v>46414</v>
      </c>
      <c r="D69" s="24" t="n">
        <f aca="false">IF(MONTH($J$59-WEEKDAY($J$59,2)+32)=MONTH($J$59),$J$59-WEEKDAY($J$59,2)+32,"")</f>
        <v>46415</v>
      </c>
      <c r="E69" s="24" t="n">
        <f aca="false">IF(MONTH($J$59-WEEKDAY($J$59,2)+33)=MONTH($J$59),$J$59-WEEKDAY($J$59,2)+33,"")</f>
        <v>46416</v>
      </c>
      <c r="F69" s="24" t="n">
        <f aca="false">IF(MONTH($J$59-WEEKDAY($J$59,2)+34)=MONTH($J$59),$J$59-WEEKDAY($J$59,2)+34,"")</f>
        <v>46417</v>
      </c>
      <c r="G69" s="24" t="n">
        <f aca="false">IF(MONTH($J$59-WEEKDAY($J$59,2)+35)=MONTH($J$59),$J$59-WEEKDAY($J$59,2)+35,"")</f>
        <v>46418</v>
      </c>
      <c r="K69" s="25" t="n">
        <f aca="false">IF(A69="","",INDEX(Giorni!$M$2:$M$367,A69-Giorni!$A$2+1))</f>
        <v>0</v>
      </c>
      <c r="L69" s="25" t="n">
        <f aca="false">IF(B69="","",INDEX(Giorni!$M$2:$M$367,B69-Giorni!$A$2+1))</f>
        <v>0</v>
      </c>
      <c r="M69" s="25" t="n">
        <f aca="false">IF(C69="","",INDEX(Giorni!$M$2:$M$367,C69-Giorni!$A$2+1))</f>
        <v>0</v>
      </c>
      <c r="N69" s="25" t="n">
        <f aca="false">IF(D69="","",INDEX(Giorni!$M$2:$M$367,D69-Giorni!$A$2+1))</f>
        <v>0</v>
      </c>
      <c r="O69" s="25" t="n">
        <f aca="false">IF(E69="","",INDEX(Giorni!$M$2:$M$367,E69-Giorni!$A$2+1))</f>
        <v>0</v>
      </c>
      <c r="P69" s="25" t="n">
        <f aca="false">IF(F69="","",INDEX(Giorni!$M$2:$M$367,F69-Giorni!$A$2+1))</f>
        <v>1</v>
      </c>
      <c r="Q69" s="25" t="n">
        <f aca="false">IF(G69="","",INDEX(Giorni!$M$2:$M$367,G69-Giorni!$A$2+1))</f>
        <v>1</v>
      </c>
    </row>
    <row r="70" customFormat="false" ht="27" hidden="false" customHeight="true" outlineLevel="0" collapsed="false">
      <c r="A70" s="26"/>
      <c r="B70" s="26"/>
      <c r="C70" s="26"/>
      <c r="D70" s="26"/>
      <c r="E70" s="26"/>
      <c r="F70" s="26"/>
      <c r="G70" s="26"/>
    </row>
    <row r="71" customFormat="false" ht="13.5" hidden="false" customHeight="true" outlineLevel="0" collapsed="false">
      <c r="A71" s="24" t="str">
        <f aca="false">IF(MONTH($J$59-WEEKDAY($J$59,2)+36)=MONTH($J$59),$J$59-WEEKDAY($J$59,2)+36,"")</f>
        <v/>
      </c>
      <c r="B71" s="24" t="str">
        <f aca="false">IF(MONTH($J$59-WEEKDAY($J$59,2)+37)=MONTH($J$59),$J$59-WEEKDAY($J$59,2)+37,"")</f>
        <v/>
      </c>
      <c r="C71" s="24" t="str">
        <f aca="false">IF(MONTH($J$59-WEEKDAY($J$59,2)+38)=MONTH($J$59),$J$59-WEEKDAY($J$59,2)+38,"")</f>
        <v/>
      </c>
      <c r="D71" s="24" t="str">
        <f aca="false">IF(MONTH($J$59-WEEKDAY($J$59,2)+39)=MONTH($J$59),$J$59-WEEKDAY($J$59,2)+39,"")</f>
        <v/>
      </c>
      <c r="E71" s="24" t="str">
        <f aca="false">IF(MONTH($J$59-WEEKDAY($J$59,2)+40)=MONTH($J$59),$J$59-WEEKDAY($J$59,2)+40,"")</f>
        <v/>
      </c>
      <c r="F71" s="24" t="str">
        <f aca="false">IF(MONTH($J$59-WEEKDAY($J$59,2)+41)=MONTH($J$59),$J$59-WEEKDAY($J$59,2)+41,"")</f>
        <v/>
      </c>
      <c r="G71" s="24" t="str">
        <f aca="false">IF(MONTH($J$59-WEEKDAY($J$59,2)+42)=MONTH($J$59),$J$59-WEEKDAY($J$59,2)+42,"")</f>
        <v/>
      </c>
      <c r="K71" s="0" t="str">
        <f aca="false">IF(A71="","",INDEX(Giorni!$M$2:$M$367,A71-Giorni!$A$2+1))</f>
        <v/>
      </c>
      <c r="L71" s="0" t="str">
        <f aca="false">IF(B71="","",INDEX(Giorni!$M$2:$M$367,B71-Giorni!$A$2+1))</f>
        <v/>
      </c>
      <c r="M71" s="0" t="str">
        <f aca="false">IF(C71="","",INDEX(Giorni!$M$2:$M$367,C71-Giorni!$A$2+1))</f>
        <v/>
      </c>
      <c r="N71" s="0" t="str">
        <f aca="false">IF(D71="","",INDEX(Giorni!$M$2:$M$367,D71-Giorni!$A$2+1))</f>
        <v/>
      </c>
      <c r="O71" s="0" t="str">
        <f aca="false">IF(E71="","",INDEX(Giorni!$M$2:$M$367,E71-Giorni!$A$2+1))</f>
        <v/>
      </c>
      <c r="P71" s="0" t="str">
        <f aca="false">IF(F71="","",INDEX(Giorni!$M$2:$M$367,F71-Giorni!$A$2+1))</f>
        <v/>
      </c>
      <c r="Q71" s="0" t="str">
        <f aca="false">IF(G71="","",INDEX(Giorni!$M$2:$M$367,G71-Giorni!$A$2+1))</f>
        <v/>
      </c>
    </row>
    <row r="72" customFormat="false" ht="27" hidden="false" customHeight="true" outlineLevel="0" collapsed="false">
      <c r="A72" s="26"/>
      <c r="B72" s="26"/>
      <c r="C72" s="26"/>
      <c r="D72" s="26"/>
      <c r="E72" s="26"/>
      <c r="F72" s="26"/>
      <c r="G72" s="26"/>
    </row>
    <row r="73" customFormat="false" ht="9.75" hidden="false" customHeight="true" outlineLevel="0" collapsed="false"/>
    <row r="74" customFormat="false" ht="24" hidden="false" customHeight="true" outlineLevel="0" collapsed="false">
      <c r="A74" s="21" t="str">
        <f aca="false">CHOOSE(MONTH($J74),"GENNAIO","FEBBRAIO","MARZO","APRILE","MAGGIO","GIUGNO","LUGLIO","AGOSTO","SETTEMBRE","OTTOBRE","NOVEMBRE","DICEMBRE")&amp;" "&amp;YEAR($J74)</f>
        <v>FEBBRAIO 2027</v>
      </c>
      <c r="B74" s="21"/>
      <c r="C74" s="21"/>
      <c r="D74" s="21"/>
      <c r="E74" s="21"/>
      <c r="F74" s="21"/>
      <c r="G74" s="21"/>
      <c r="J74" s="25" t="n">
        <f aca="false">EDATE(J59,1)</f>
        <v>46419</v>
      </c>
    </row>
    <row r="75" customFormat="false" ht="15.75" hidden="false" customHeight="true" outlineLevel="0" collapsed="false">
      <c r="A75" s="22" t="s">
        <v>10</v>
      </c>
      <c r="B75" s="22" t="s">
        <v>11</v>
      </c>
      <c r="C75" s="22" t="s">
        <v>11</v>
      </c>
      <c r="D75" s="22" t="s">
        <v>6</v>
      </c>
      <c r="E75" s="22" t="s">
        <v>12</v>
      </c>
      <c r="F75" s="23" t="s">
        <v>13</v>
      </c>
      <c r="G75" s="23" t="s">
        <v>14</v>
      </c>
    </row>
    <row r="76" customFormat="false" ht="13.5" hidden="false" customHeight="true" outlineLevel="0" collapsed="false">
      <c r="A76" s="24" t="n">
        <f aca="false">IF(MONTH($J$74-WEEKDAY($J$74,2)+1)=MONTH($J$74),$J$74-WEEKDAY($J$74,2)+1,"")</f>
        <v>46419</v>
      </c>
      <c r="B76" s="24" t="n">
        <f aca="false">IF(MONTH($J$74-WEEKDAY($J$74,2)+2)=MONTH($J$74),$J$74-WEEKDAY($J$74,2)+2,"")</f>
        <v>46420</v>
      </c>
      <c r="C76" s="24" t="n">
        <f aca="false">IF(MONTH($J$74-WEEKDAY($J$74,2)+3)=MONTH($J$74),$J$74-WEEKDAY($J$74,2)+3,"")</f>
        <v>46421</v>
      </c>
      <c r="D76" s="24" t="n">
        <f aca="false">IF(MONTH($J$74-WEEKDAY($J$74,2)+4)=MONTH($J$74),$J$74-WEEKDAY($J$74,2)+4,"")</f>
        <v>46422</v>
      </c>
      <c r="E76" s="24" t="n">
        <f aca="false">IF(MONTH($J$74-WEEKDAY($J$74,2)+5)=MONTH($J$74),$J$74-WEEKDAY($J$74,2)+5,"")</f>
        <v>46423</v>
      </c>
      <c r="F76" s="24" t="n">
        <f aca="false">IF(MONTH($J$74-WEEKDAY($J$74,2)+6)=MONTH($J$74),$J$74-WEEKDAY($J$74,2)+6,"")</f>
        <v>46424</v>
      </c>
      <c r="G76" s="24" t="n">
        <f aca="false">IF(MONTH($J$74-WEEKDAY($J$74,2)+7)=MONTH($J$74),$J$74-WEEKDAY($J$74,2)+7,"")</f>
        <v>46425</v>
      </c>
      <c r="K76" s="25" t="n">
        <f aca="false">IF(A76="","",INDEX(Giorni!$M$2:$M$367,A76-Giorni!$A$2+1))</f>
        <v>0</v>
      </c>
      <c r="L76" s="25" t="n">
        <f aca="false">IF(B76="","",INDEX(Giorni!$M$2:$M$367,B76-Giorni!$A$2+1))</f>
        <v>0</v>
      </c>
      <c r="M76" s="25" t="n">
        <f aca="false">IF(C76="","",INDEX(Giorni!$M$2:$M$367,C76-Giorni!$A$2+1))</f>
        <v>0</v>
      </c>
      <c r="N76" s="25" t="n">
        <f aca="false">IF(D76="","",INDEX(Giorni!$M$2:$M$367,D76-Giorni!$A$2+1))</f>
        <v>0</v>
      </c>
      <c r="O76" s="25" t="n">
        <f aca="false">IF(E76="","",INDEX(Giorni!$M$2:$M$367,E76-Giorni!$A$2+1))</f>
        <v>0</v>
      </c>
      <c r="P76" s="25" t="n">
        <f aca="false">IF(F76="","",INDEX(Giorni!$M$2:$M$367,F76-Giorni!$A$2+1))</f>
        <v>1</v>
      </c>
      <c r="Q76" s="25" t="n">
        <f aca="false">IF(G76="","",INDEX(Giorni!$M$2:$M$367,G76-Giorni!$A$2+1))</f>
        <v>1</v>
      </c>
    </row>
    <row r="77" customFormat="false" ht="27" hidden="false" customHeight="true" outlineLevel="0" collapsed="false">
      <c r="A77" s="26"/>
      <c r="B77" s="26"/>
      <c r="C77" s="26"/>
      <c r="D77" s="26"/>
      <c r="E77" s="26"/>
      <c r="F77" s="26"/>
      <c r="G77" s="26"/>
    </row>
    <row r="78" customFormat="false" ht="13.5" hidden="false" customHeight="true" outlineLevel="0" collapsed="false">
      <c r="A78" s="24" t="n">
        <f aca="false">IF(MONTH($J$74-WEEKDAY($J$74,2)+8)=MONTH($J$74),$J$74-WEEKDAY($J$74,2)+8,"")</f>
        <v>46426</v>
      </c>
      <c r="B78" s="24" t="n">
        <f aca="false">IF(MONTH($J$74-WEEKDAY($J$74,2)+9)=MONTH($J$74),$J$74-WEEKDAY($J$74,2)+9,"")</f>
        <v>46427</v>
      </c>
      <c r="C78" s="24" t="n">
        <f aca="false">IF(MONTH($J$74-WEEKDAY($J$74,2)+10)=MONTH($J$74),$J$74-WEEKDAY($J$74,2)+10,"")</f>
        <v>46428</v>
      </c>
      <c r="D78" s="24" t="n">
        <f aca="false">IF(MONTH($J$74-WEEKDAY($J$74,2)+11)=MONTH($J$74),$J$74-WEEKDAY($J$74,2)+11,"")</f>
        <v>46429</v>
      </c>
      <c r="E78" s="24" t="n">
        <f aca="false">IF(MONTH($J$74-WEEKDAY($J$74,2)+12)=MONTH($J$74),$J$74-WEEKDAY($J$74,2)+12,"")</f>
        <v>46430</v>
      </c>
      <c r="F78" s="24" t="n">
        <f aca="false">IF(MONTH($J$74-WEEKDAY($J$74,2)+13)=MONTH($J$74),$J$74-WEEKDAY($J$74,2)+13,"")</f>
        <v>46431</v>
      </c>
      <c r="G78" s="24" t="n">
        <f aca="false">IF(MONTH($J$74-WEEKDAY($J$74,2)+14)=MONTH($J$74),$J$74-WEEKDAY($J$74,2)+14,"")</f>
        <v>46432</v>
      </c>
      <c r="K78" s="25" t="n">
        <f aca="false">IF(A78="","",INDEX(Giorni!$M$2:$M$367,A78-Giorni!$A$2+1))</f>
        <v>0</v>
      </c>
      <c r="L78" s="25" t="n">
        <f aca="false">IF(B78="","",INDEX(Giorni!$M$2:$M$367,B78-Giorni!$A$2+1))</f>
        <v>0</v>
      </c>
      <c r="M78" s="25" t="n">
        <f aca="false">IF(C78="","",INDEX(Giorni!$M$2:$M$367,C78-Giorni!$A$2+1))</f>
        <v>0</v>
      </c>
      <c r="N78" s="25" t="n">
        <f aca="false">IF(D78="","",INDEX(Giorni!$M$2:$M$367,D78-Giorni!$A$2+1))</f>
        <v>0</v>
      </c>
      <c r="O78" s="25" t="n">
        <f aca="false">IF(E78="","",INDEX(Giorni!$M$2:$M$367,E78-Giorni!$A$2+1))</f>
        <v>0</v>
      </c>
      <c r="P78" s="25" t="n">
        <f aca="false">IF(F78="","",INDEX(Giorni!$M$2:$M$367,F78-Giorni!$A$2+1))</f>
        <v>1</v>
      </c>
      <c r="Q78" s="25" t="n">
        <f aca="false">IF(G78="","",INDEX(Giorni!$M$2:$M$367,G78-Giorni!$A$2+1))</f>
        <v>1</v>
      </c>
    </row>
    <row r="79" customFormat="false" ht="27" hidden="false" customHeight="true" outlineLevel="0" collapsed="false">
      <c r="A79" s="26"/>
      <c r="B79" s="26"/>
      <c r="C79" s="26"/>
      <c r="D79" s="26"/>
      <c r="E79" s="26"/>
      <c r="F79" s="26"/>
      <c r="G79" s="26"/>
    </row>
    <row r="80" customFormat="false" ht="13.5" hidden="false" customHeight="true" outlineLevel="0" collapsed="false">
      <c r="A80" s="24" t="n">
        <f aca="false">IF(MONTH($J$74-WEEKDAY($J$74,2)+15)=MONTH($J$74),$J$74-WEEKDAY($J$74,2)+15,"")</f>
        <v>46433</v>
      </c>
      <c r="B80" s="24" t="n">
        <f aca="false">IF(MONTH($J$74-WEEKDAY($J$74,2)+16)=MONTH($J$74),$J$74-WEEKDAY($J$74,2)+16,"")</f>
        <v>46434</v>
      </c>
      <c r="C80" s="24" t="n">
        <f aca="false">IF(MONTH($J$74-WEEKDAY($J$74,2)+17)=MONTH($J$74),$J$74-WEEKDAY($J$74,2)+17,"")</f>
        <v>46435</v>
      </c>
      <c r="D80" s="24" t="n">
        <f aca="false">IF(MONTH($J$74-WEEKDAY($J$74,2)+18)=MONTH($J$74),$J$74-WEEKDAY($J$74,2)+18,"")</f>
        <v>46436</v>
      </c>
      <c r="E80" s="24" t="n">
        <f aca="false">IF(MONTH($J$74-WEEKDAY($J$74,2)+19)=MONTH($J$74),$J$74-WEEKDAY($J$74,2)+19,"")</f>
        <v>46437</v>
      </c>
      <c r="F80" s="24" t="n">
        <f aca="false">IF(MONTH($J$74-WEEKDAY($J$74,2)+20)=MONTH($J$74),$J$74-WEEKDAY($J$74,2)+20,"")</f>
        <v>46438</v>
      </c>
      <c r="G80" s="24" t="n">
        <f aca="false">IF(MONTH($J$74-WEEKDAY($J$74,2)+21)=MONTH($J$74),$J$74-WEEKDAY($J$74,2)+21,"")</f>
        <v>46439</v>
      </c>
      <c r="K80" s="25" t="n">
        <f aca="false">IF(A80="","",INDEX(Giorni!$M$2:$M$367,A80-Giorni!$A$2+1))</f>
        <v>0</v>
      </c>
      <c r="L80" s="25" t="n">
        <f aca="false">IF(B80="","",INDEX(Giorni!$M$2:$M$367,B80-Giorni!$A$2+1))</f>
        <v>0</v>
      </c>
      <c r="M80" s="25" t="n">
        <f aca="false">IF(C80="","",INDEX(Giorni!$M$2:$M$367,C80-Giorni!$A$2+1))</f>
        <v>0</v>
      </c>
      <c r="N80" s="25" t="n">
        <f aca="false">IF(D80="","",INDEX(Giorni!$M$2:$M$367,D80-Giorni!$A$2+1))</f>
        <v>0</v>
      </c>
      <c r="O80" s="25" t="n">
        <f aca="false">IF(E80="","",INDEX(Giorni!$M$2:$M$367,E80-Giorni!$A$2+1))</f>
        <v>0</v>
      </c>
      <c r="P80" s="25" t="n">
        <f aca="false">IF(F80="","",INDEX(Giorni!$M$2:$M$367,F80-Giorni!$A$2+1))</f>
        <v>1</v>
      </c>
      <c r="Q80" s="25" t="n">
        <f aca="false">IF(G80="","",INDEX(Giorni!$M$2:$M$367,G80-Giorni!$A$2+1))</f>
        <v>1</v>
      </c>
    </row>
    <row r="81" customFormat="false" ht="27" hidden="false" customHeight="true" outlineLevel="0" collapsed="false">
      <c r="A81" s="26"/>
      <c r="B81" s="26"/>
      <c r="C81" s="26"/>
      <c r="D81" s="26"/>
      <c r="E81" s="26"/>
      <c r="F81" s="26"/>
      <c r="G81" s="26"/>
    </row>
    <row r="82" customFormat="false" ht="13.5" hidden="false" customHeight="true" outlineLevel="0" collapsed="false">
      <c r="A82" s="24" t="n">
        <f aca="false">IF(MONTH($J$74-WEEKDAY($J$74,2)+22)=MONTH($J$74),$J$74-WEEKDAY($J$74,2)+22,"")</f>
        <v>46440</v>
      </c>
      <c r="B82" s="24" t="n">
        <f aca="false">IF(MONTH($J$74-WEEKDAY($J$74,2)+23)=MONTH($J$74),$J$74-WEEKDAY($J$74,2)+23,"")</f>
        <v>46441</v>
      </c>
      <c r="C82" s="24" t="n">
        <f aca="false">IF(MONTH($J$74-WEEKDAY($J$74,2)+24)=MONTH($J$74),$J$74-WEEKDAY($J$74,2)+24,"")</f>
        <v>46442</v>
      </c>
      <c r="D82" s="24" t="n">
        <f aca="false">IF(MONTH($J$74-WEEKDAY($J$74,2)+25)=MONTH($J$74),$J$74-WEEKDAY($J$74,2)+25,"")</f>
        <v>46443</v>
      </c>
      <c r="E82" s="24" t="n">
        <f aca="false">IF(MONTH($J$74-WEEKDAY($J$74,2)+26)=MONTH($J$74),$J$74-WEEKDAY($J$74,2)+26,"")</f>
        <v>46444</v>
      </c>
      <c r="F82" s="24" t="n">
        <f aca="false">IF(MONTH($J$74-WEEKDAY($J$74,2)+27)=MONTH($J$74),$J$74-WEEKDAY($J$74,2)+27,"")</f>
        <v>46445</v>
      </c>
      <c r="G82" s="24" t="n">
        <f aca="false">IF(MONTH($J$74-WEEKDAY($J$74,2)+28)=MONTH($J$74),$J$74-WEEKDAY($J$74,2)+28,"")</f>
        <v>46446</v>
      </c>
      <c r="K82" s="25" t="n">
        <f aca="false">IF(A82="","",INDEX(Giorni!$M$2:$M$367,A82-Giorni!$A$2+1))</f>
        <v>0</v>
      </c>
      <c r="L82" s="25" t="n">
        <f aca="false">IF(B82="","",INDEX(Giorni!$M$2:$M$367,B82-Giorni!$A$2+1))</f>
        <v>0</v>
      </c>
      <c r="M82" s="25" t="n">
        <f aca="false">IF(C82="","",INDEX(Giorni!$M$2:$M$367,C82-Giorni!$A$2+1))</f>
        <v>0</v>
      </c>
      <c r="N82" s="25" t="n">
        <f aca="false">IF(D82="","",INDEX(Giorni!$M$2:$M$367,D82-Giorni!$A$2+1))</f>
        <v>0</v>
      </c>
      <c r="O82" s="25" t="n">
        <f aca="false">IF(E82="","",INDEX(Giorni!$M$2:$M$367,E82-Giorni!$A$2+1))</f>
        <v>0</v>
      </c>
      <c r="P82" s="25" t="n">
        <f aca="false">IF(F82="","",INDEX(Giorni!$M$2:$M$367,F82-Giorni!$A$2+1))</f>
        <v>1</v>
      </c>
      <c r="Q82" s="25" t="n">
        <f aca="false">IF(G82="","",INDEX(Giorni!$M$2:$M$367,G82-Giorni!$A$2+1))</f>
        <v>1</v>
      </c>
    </row>
    <row r="83" customFormat="false" ht="27" hidden="false" customHeight="true" outlineLevel="0" collapsed="false">
      <c r="A83" s="26"/>
      <c r="B83" s="26"/>
      <c r="C83" s="26"/>
      <c r="D83" s="26"/>
      <c r="E83" s="26"/>
      <c r="F83" s="26"/>
      <c r="G83" s="26"/>
    </row>
    <row r="84" customFormat="false" ht="13.5" hidden="false" customHeight="true" outlineLevel="0" collapsed="false">
      <c r="A84" s="24" t="str">
        <f aca="false">IF(MONTH($J$74-WEEKDAY($J$74,2)+29)=MONTH($J$74),$J$74-WEEKDAY($J$74,2)+29,"")</f>
        <v/>
      </c>
      <c r="B84" s="24" t="str">
        <f aca="false">IF(MONTH($J$74-WEEKDAY($J$74,2)+30)=MONTH($J$74),$J$74-WEEKDAY($J$74,2)+30,"")</f>
        <v/>
      </c>
      <c r="C84" s="24" t="str">
        <f aca="false">IF(MONTH($J$74-WEEKDAY($J$74,2)+31)=MONTH($J$74),$J$74-WEEKDAY($J$74,2)+31,"")</f>
        <v/>
      </c>
      <c r="D84" s="24" t="str">
        <f aca="false">IF(MONTH($J$74-WEEKDAY($J$74,2)+32)=MONTH($J$74),$J$74-WEEKDAY($J$74,2)+32,"")</f>
        <v/>
      </c>
      <c r="E84" s="24" t="str">
        <f aca="false">IF(MONTH($J$74-WEEKDAY($J$74,2)+33)=MONTH($J$74),$J$74-WEEKDAY($J$74,2)+33,"")</f>
        <v/>
      </c>
      <c r="F84" s="24" t="str">
        <f aca="false">IF(MONTH($J$74-WEEKDAY($J$74,2)+34)=MONTH($J$74),$J$74-WEEKDAY($J$74,2)+34,"")</f>
        <v/>
      </c>
      <c r="G84" s="24" t="str">
        <f aca="false">IF(MONTH($J$74-WEEKDAY($J$74,2)+35)=MONTH($J$74),$J$74-WEEKDAY($J$74,2)+35,"")</f>
        <v/>
      </c>
      <c r="K84" s="0" t="str">
        <f aca="false">IF(A84="","",INDEX(Giorni!$M$2:$M$367,A84-Giorni!$A$2+1))</f>
        <v/>
      </c>
      <c r="L84" s="0" t="str">
        <f aca="false">IF(B84="","",INDEX(Giorni!$M$2:$M$367,B84-Giorni!$A$2+1))</f>
        <v/>
      </c>
      <c r="M84" s="0" t="str">
        <f aca="false">IF(C84="","",INDEX(Giorni!$M$2:$M$367,C84-Giorni!$A$2+1))</f>
        <v/>
      </c>
      <c r="N84" s="0" t="str">
        <f aca="false">IF(D84="","",INDEX(Giorni!$M$2:$M$367,D84-Giorni!$A$2+1))</f>
        <v/>
      </c>
      <c r="O84" s="0" t="str">
        <f aca="false">IF(E84="","",INDEX(Giorni!$M$2:$M$367,E84-Giorni!$A$2+1))</f>
        <v/>
      </c>
      <c r="P84" s="0" t="str">
        <f aca="false">IF(F84="","",INDEX(Giorni!$M$2:$M$367,F84-Giorni!$A$2+1))</f>
        <v/>
      </c>
      <c r="Q84" s="0" t="str">
        <f aca="false">IF(G84="","",INDEX(Giorni!$M$2:$M$367,G84-Giorni!$A$2+1))</f>
        <v/>
      </c>
    </row>
    <row r="85" customFormat="false" ht="27" hidden="false" customHeight="true" outlineLevel="0" collapsed="false">
      <c r="A85" s="26"/>
      <c r="B85" s="26"/>
      <c r="C85" s="26"/>
      <c r="D85" s="26"/>
      <c r="E85" s="26"/>
      <c r="F85" s="26"/>
      <c r="G85" s="26"/>
    </row>
    <row r="86" customFormat="false" ht="13.5" hidden="false" customHeight="true" outlineLevel="0" collapsed="false">
      <c r="A86" s="24" t="str">
        <f aca="false">IF(MONTH($J$74-WEEKDAY($J$74,2)+36)=MONTH($J$74),$J$74-WEEKDAY($J$74,2)+36,"")</f>
        <v/>
      </c>
      <c r="B86" s="24" t="str">
        <f aca="false">IF(MONTH($J$74-WEEKDAY($J$74,2)+37)=MONTH($J$74),$J$74-WEEKDAY($J$74,2)+37,"")</f>
        <v/>
      </c>
      <c r="C86" s="24" t="str">
        <f aca="false">IF(MONTH($J$74-WEEKDAY($J$74,2)+38)=MONTH($J$74),$J$74-WEEKDAY($J$74,2)+38,"")</f>
        <v/>
      </c>
      <c r="D86" s="24" t="str">
        <f aca="false">IF(MONTH($J$74-WEEKDAY($J$74,2)+39)=MONTH($J$74),$J$74-WEEKDAY($J$74,2)+39,"")</f>
        <v/>
      </c>
      <c r="E86" s="24" t="str">
        <f aca="false">IF(MONTH($J$74-WEEKDAY($J$74,2)+40)=MONTH($J$74),$J$74-WEEKDAY($J$74,2)+40,"")</f>
        <v/>
      </c>
      <c r="F86" s="24" t="str">
        <f aca="false">IF(MONTH($J$74-WEEKDAY($J$74,2)+41)=MONTH($J$74),$J$74-WEEKDAY($J$74,2)+41,"")</f>
        <v/>
      </c>
      <c r="G86" s="24" t="str">
        <f aca="false">IF(MONTH($J$74-WEEKDAY($J$74,2)+42)=MONTH($J$74),$J$74-WEEKDAY($J$74,2)+42,"")</f>
        <v/>
      </c>
      <c r="K86" s="0" t="str">
        <f aca="false">IF(A86="","",INDEX(Giorni!$M$2:$M$367,A86-Giorni!$A$2+1))</f>
        <v/>
      </c>
      <c r="L86" s="0" t="str">
        <f aca="false">IF(B86="","",INDEX(Giorni!$M$2:$M$367,B86-Giorni!$A$2+1))</f>
        <v/>
      </c>
      <c r="M86" s="0" t="str">
        <f aca="false">IF(C86="","",INDEX(Giorni!$M$2:$M$367,C86-Giorni!$A$2+1))</f>
        <v/>
      </c>
      <c r="N86" s="0" t="str">
        <f aca="false">IF(D86="","",INDEX(Giorni!$M$2:$M$367,D86-Giorni!$A$2+1))</f>
        <v/>
      </c>
      <c r="O86" s="0" t="str">
        <f aca="false">IF(E86="","",INDEX(Giorni!$M$2:$M$367,E86-Giorni!$A$2+1))</f>
        <v/>
      </c>
      <c r="P86" s="0" t="str">
        <f aca="false">IF(F86="","",INDEX(Giorni!$M$2:$M$367,F86-Giorni!$A$2+1))</f>
        <v/>
      </c>
      <c r="Q86" s="0" t="str">
        <f aca="false">IF(G86="","",INDEX(Giorni!$M$2:$M$367,G86-Giorni!$A$2+1))</f>
        <v/>
      </c>
    </row>
    <row r="87" customFormat="false" ht="27" hidden="false" customHeight="true" outlineLevel="0" collapsed="false">
      <c r="A87" s="26"/>
      <c r="B87" s="26"/>
      <c r="C87" s="26"/>
      <c r="D87" s="26"/>
      <c r="E87" s="26"/>
      <c r="F87" s="26"/>
      <c r="G87" s="26"/>
    </row>
    <row r="88" customFormat="false" ht="9.75" hidden="false" customHeight="true" outlineLevel="0" collapsed="false"/>
    <row r="89" customFormat="false" ht="24" hidden="false" customHeight="true" outlineLevel="0" collapsed="false">
      <c r="A89" s="21" t="str">
        <f aca="false">CHOOSE(MONTH($J89),"GENNAIO","FEBBRAIO","MARZO","APRILE","MAGGIO","GIUGNO","LUGLIO","AGOSTO","SETTEMBRE","OTTOBRE","NOVEMBRE","DICEMBRE")&amp;" "&amp;YEAR($J89)</f>
        <v>MARZO 2027</v>
      </c>
      <c r="B89" s="21"/>
      <c r="C89" s="21"/>
      <c r="D89" s="21"/>
      <c r="E89" s="21"/>
      <c r="F89" s="21"/>
      <c r="G89" s="21"/>
      <c r="J89" s="25" t="n">
        <f aca="false">EDATE(J74,1)</f>
        <v>46447</v>
      </c>
    </row>
    <row r="90" customFormat="false" ht="15.75" hidden="false" customHeight="true" outlineLevel="0" collapsed="false">
      <c r="A90" s="22" t="s">
        <v>10</v>
      </c>
      <c r="B90" s="22" t="s">
        <v>11</v>
      </c>
      <c r="C90" s="22" t="s">
        <v>11</v>
      </c>
      <c r="D90" s="22" t="s">
        <v>6</v>
      </c>
      <c r="E90" s="22" t="s">
        <v>12</v>
      </c>
      <c r="F90" s="23" t="s">
        <v>13</v>
      </c>
      <c r="G90" s="23" t="s">
        <v>14</v>
      </c>
    </row>
    <row r="91" customFormat="false" ht="13.5" hidden="false" customHeight="true" outlineLevel="0" collapsed="false">
      <c r="A91" s="24" t="n">
        <f aca="false">IF(MONTH($J$89-WEEKDAY($J$89,2)+1)=MONTH($J$89),$J$89-WEEKDAY($J$89,2)+1,"")</f>
        <v>46447</v>
      </c>
      <c r="B91" s="24" t="n">
        <f aca="false">IF(MONTH($J$89-WEEKDAY($J$89,2)+2)=MONTH($J$89),$J$89-WEEKDAY($J$89,2)+2,"")</f>
        <v>46448</v>
      </c>
      <c r="C91" s="24" t="n">
        <f aca="false">IF(MONTH($J$89-WEEKDAY($J$89,2)+3)=MONTH($J$89),$J$89-WEEKDAY($J$89,2)+3,"")</f>
        <v>46449</v>
      </c>
      <c r="D91" s="24" t="n">
        <f aca="false">IF(MONTH($J$89-WEEKDAY($J$89,2)+4)=MONTH($J$89),$J$89-WEEKDAY($J$89,2)+4,"")</f>
        <v>46450</v>
      </c>
      <c r="E91" s="24" t="n">
        <f aca="false">IF(MONTH($J$89-WEEKDAY($J$89,2)+5)=MONTH($J$89),$J$89-WEEKDAY($J$89,2)+5,"")</f>
        <v>46451</v>
      </c>
      <c r="F91" s="24" t="n">
        <f aca="false">IF(MONTH($J$89-WEEKDAY($J$89,2)+6)=MONTH($J$89),$J$89-WEEKDAY($J$89,2)+6,"")</f>
        <v>46452</v>
      </c>
      <c r="G91" s="24" t="n">
        <f aca="false">IF(MONTH($J$89-WEEKDAY($J$89,2)+7)=MONTH($J$89),$J$89-WEEKDAY($J$89,2)+7,"")</f>
        <v>46453</v>
      </c>
      <c r="K91" s="25" t="n">
        <f aca="false">IF(A91="","",INDEX(Giorni!$M$2:$M$367,A91-Giorni!$A$2+1))</f>
        <v>0</v>
      </c>
      <c r="L91" s="25" t="n">
        <f aca="false">IF(B91="","",INDEX(Giorni!$M$2:$M$367,B91-Giorni!$A$2+1))</f>
        <v>0</v>
      </c>
      <c r="M91" s="25" t="n">
        <f aca="false">IF(C91="","",INDEX(Giorni!$M$2:$M$367,C91-Giorni!$A$2+1))</f>
        <v>0</v>
      </c>
      <c r="N91" s="25" t="n">
        <f aca="false">IF(D91="","",INDEX(Giorni!$M$2:$M$367,D91-Giorni!$A$2+1))</f>
        <v>0</v>
      </c>
      <c r="O91" s="25" t="n">
        <f aca="false">IF(E91="","",INDEX(Giorni!$M$2:$M$367,E91-Giorni!$A$2+1))</f>
        <v>0</v>
      </c>
      <c r="P91" s="25" t="n">
        <f aca="false">IF(F91="","",INDEX(Giorni!$M$2:$M$367,F91-Giorni!$A$2+1))</f>
        <v>1</v>
      </c>
      <c r="Q91" s="25" t="n">
        <f aca="false">IF(G91="","",INDEX(Giorni!$M$2:$M$367,G91-Giorni!$A$2+1))</f>
        <v>1</v>
      </c>
    </row>
    <row r="92" customFormat="false" ht="27" hidden="false" customHeight="true" outlineLevel="0" collapsed="false">
      <c r="A92" s="26"/>
      <c r="B92" s="26"/>
      <c r="C92" s="26"/>
      <c r="D92" s="26"/>
      <c r="E92" s="26"/>
      <c r="F92" s="26"/>
      <c r="G92" s="26"/>
    </row>
    <row r="93" customFormat="false" ht="13.5" hidden="false" customHeight="true" outlineLevel="0" collapsed="false">
      <c r="A93" s="24" t="n">
        <f aca="false">IF(MONTH($J$89-WEEKDAY($J$89,2)+8)=MONTH($J$89),$J$89-WEEKDAY($J$89,2)+8,"")</f>
        <v>46454</v>
      </c>
      <c r="B93" s="24" t="n">
        <f aca="false">IF(MONTH($J$89-WEEKDAY($J$89,2)+9)=MONTH($J$89),$J$89-WEEKDAY($J$89,2)+9,"")</f>
        <v>46455</v>
      </c>
      <c r="C93" s="24" t="n">
        <f aca="false">IF(MONTH($J$89-WEEKDAY($J$89,2)+10)=MONTH($J$89),$J$89-WEEKDAY($J$89,2)+10,"")</f>
        <v>46456</v>
      </c>
      <c r="D93" s="24" t="n">
        <f aca="false">IF(MONTH($J$89-WEEKDAY($J$89,2)+11)=MONTH($J$89),$J$89-WEEKDAY($J$89,2)+11,"")</f>
        <v>46457</v>
      </c>
      <c r="E93" s="24" t="n">
        <f aca="false">IF(MONTH($J$89-WEEKDAY($J$89,2)+12)=MONTH($J$89),$J$89-WEEKDAY($J$89,2)+12,"")</f>
        <v>46458</v>
      </c>
      <c r="F93" s="24" t="n">
        <f aca="false">IF(MONTH($J$89-WEEKDAY($J$89,2)+13)=MONTH($J$89),$J$89-WEEKDAY($J$89,2)+13,"")</f>
        <v>46459</v>
      </c>
      <c r="G93" s="24" t="n">
        <f aca="false">IF(MONTH($J$89-WEEKDAY($J$89,2)+14)=MONTH($J$89),$J$89-WEEKDAY($J$89,2)+14,"")</f>
        <v>46460</v>
      </c>
      <c r="K93" s="25" t="n">
        <f aca="false">IF(A93="","",INDEX(Giorni!$M$2:$M$367,A93-Giorni!$A$2+1))</f>
        <v>0</v>
      </c>
      <c r="L93" s="25" t="n">
        <f aca="false">IF(B93="","",INDEX(Giorni!$M$2:$M$367,B93-Giorni!$A$2+1))</f>
        <v>0</v>
      </c>
      <c r="M93" s="25" t="n">
        <f aca="false">IF(C93="","",INDEX(Giorni!$M$2:$M$367,C93-Giorni!$A$2+1))</f>
        <v>0</v>
      </c>
      <c r="N93" s="25" t="n">
        <f aca="false">IF(D93="","",INDEX(Giorni!$M$2:$M$367,D93-Giorni!$A$2+1))</f>
        <v>0</v>
      </c>
      <c r="O93" s="25" t="n">
        <f aca="false">IF(E93="","",INDEX(Giorni!$M$2:$M$367,E93-Giorni!$A$2+1))</f>
        <v>0</v>
      </c>
      <c r="P93" s="25" t="n">
        <f aca="false">IF(F93="","",INDEX(Giorni!$M$2:$M$367,F93-Giorni!$A$2+1))</f>
        <v>1</v>
      </c>
      <c r="Q93" s="25" t="n">
        <f aca="false">IF(G93="","",INDEX(Giorni!$M$2:$M$367,G93-Giorni!$A$2+1))</f>
        <v>1</v>
      </c>
    </row>
    <row r="94" customFormat="false" ht="27" hidden="false" customHeight="true" outlineLevel="0" collapsed="false">
      <c r="A94" s="26"/>
      <c r="B94" s="26"/>
      <c r="C94" s="26"/>
      <c r="D94" s="26"/>
      <c r="E94" s="26"/>
      <c r="F94" s="26"/>
      <c r="G94" s="26"/>
    </row>
    <row r="95" customFormat="false" ht="13.5" hidden="false" customHeight="true" outlineLevel="0" collapsed="false">
      <c r="A95" s="24" t="n">
        <f aca="false">IF(MONTH($J$89-WEEKDAY($J$89,2)+15)=MONTH($J$89),$J$89-WEEKDAY($J$89,2)+15,"")</f>
        <v>46461</v>
      </c>
      <c r="B95" s="24" t="n">
        <f aca="false">IF(MONTH($J$89-WEEKDAY($J$89,2)+16)=MONTH($J$89),$J$89-WEEKDAY($J$89,2)+16,"")</f>
        <v>46462</v>
      </c>
      <c r="C95" s="24" t="n">
        <f aca="false">IF(MONTH($J$89-WEEKDAY($J$89,2)+17)=MONTH($J$89),$J$89-WEEKDAY($J$89,2)+17,"")</f>
        <v>46463</v>
      </c>
      <c r="D95" s="24" t="n">
        <f aca="false">IF(MONTH($J$89-WEEKDAY($J$89,2)+18)=MONTH($J$89),$J$89-WEEKDAY($J$89,2)+18,"")</f>
        <v>46464</v>
      </c>
      <c r="E95" s="24" t="n">
        <f aca="false">IF(MONTH($J$89-WEEKDAY($J$89,2)+19)=MONTH($J$89),$J$89-WEEKDAY($J$89,2)+19,"")</f>
        <v>46465</v>
      </c>
      <c r="F95" s="24" t="n">
        <f aca="false">IF(MONTH($J$89-WEEKDAY($J$89,2)+20)=MONTH($J$89),$J$89-WEEKDAY($J$89,2)+20,"")</f>
        <v>46466</v>
      </c>
      <c r="G95" s="24" t="n">
        <f aca="false">IF(MONTH($J$89-WEEKDAY($J$89,2)+21)=MONTH($J$89),$J$89-WEEKDAY($J$89,2)+21,"")</f>
        <v>46467</v>
      </c>
      <c r="K95" s="25" t="n">
        <f aca="false">IF(A95="","",INDEX(Giorni!$M$2:$M$367,A95-Giorni!$A$2+1))</f>
        <v>0</v>
      </c>
      <c r="L95" s="25" t="n">
        <f aca="false">IF(B95="","",INDEX(Giorni!$M$2:$M$367,B95-Giorni!$A$2+1))</f>
        <v>0</v>
      </c>
      <c r="M95" s="25" t="n">
        <f aca="false">IF(C95="","",INDEX(Giorni!$M$2:$M$367,C95-Giorni!$A$2+1))</f>
        <v>0</v>
      </c>
      <c r="N95" s="25" t="n">
        <f aca="false">IF(D95="","",INDEX(Giorni!$M$2:$M$367,D95-Giorni!$A$2+1))</f>
        <v>0</v>
      </c>
      <c r="O95" s="25" t="n">
        <f aca="false">IF(E95="","",INDEX(Giorni!$M$2:$M$367,E95-Giorni!$A$2+1))</f>
        <v>0</v>
      </c>
      <c r="P95" s="25" t="n">
        <f aca="false">IF(F95="","",INDEX(Giorni!$M$2:$M$367,F95-Giorni!$A$2+1))</f>
        <v>1</v>
      </c>
      <c r="Q95" s="25" t="n">
        <f aca="false">IF(G95="","",INDEX(Giorni!$M$2:$M$367,G95-Giorni!$A$2+1))</f>
        <v>1</v>
      </c>
    </row>
    <row r="96" customFormat="false" ht="27" hidden="false" customHeight="true" outlineLevel="0" collapsed="false">
      <c r="A96" s="26"/>
      <c r="B96" s="26"/>
      <c r="C96" s="26"/>
      <c r="D96" s="26"/>
      <c r="E96" s="26"/>
      <c r="F96" s="26"/>
      <c r="G96" s="26"/>
    </row>
    <row r="97" customFormat="false" ht="13.5" hidden="false" customHeight="true" outlineLevel="0" collapsed="false">
      <c r="A97" s="24" t="n">
        <f aca="false">IF(MONTH($J$89-WEEKDAY($J$89,2)+22)=MONTH($J$89),$J$89-WEEKDAY($J$89,2)+22,"")</f>
        <v>46468</v>
      </c>
      <c r="B97" s="24" t="n">
        <f aca="false">IF(MONTH($J$89-WEEKDAY($J$89,2)+23)=MONTH($J$89),$J$89-WEEKDAY($J$89,2)+23,"")</f>
        <v>46469</v>
      </c>
      <c r="C97" s="24" t="n">
        <f aca="false">IF(MONTH($J$89-WEEKDAY($J$89,2)+24)=MONTH($J$89),$J$89-WEEKDAY($J$89,2)+24,"")</f>
        <v>46470</v>
      </c>
      <c r="D97" s="24" t="n">
        <f aca="false">IF(MONTH($J$89-WEEKDAY($J$89,2)+25)=MONTH($J$89),$J$89-WEEKDAY($J$89,2)+25,"")</f>
        <v>46471</v>
      </c>
      <c r="E97" s="24" t="n">
        <f aca="false">IF(MONTH($J$89-WEEKDAY($J$89,2)+26)=MONTH($J$89),$J$89-WEEKDAY($J$89,2)+26,"")</f>
        <v>46472</v>
      </c>
      <c r="F97" s="24" t="n">
        <f aca="false">IF(MONTH($J$89-WEEKDAY($J$89,2)+27)=MONTH($J$89),$J$89-WEEKDAY($J$89,2)+27,"")</f>
        <v>46473</v>
      </c>
      <c r="G97" s="24" t="n">
        <f aca="false">IF(MONTH($J$89-WEEKDAY($J$89,2)+28)=MONTH($J$89),$J$89-WEEKDAY($J$89,2)+28,"")</f>
        <v>46474</v>
      </c>
      <c r="K97" s="25" t="n">
        <f aca="false">IF(A97="","",INDEX(Giorni!$M$2:$M$367,A97-Giorni!$A$2+1))</f>
        <v>0</v>
      </c>
      <c r="L97" s="25" t="n">
        <f aca="false">IF(B97="","",INDEX(Giorni!$M$2:$M$367,B97-Giorni!$A$2+1))</f>
        <v>0</v>
      </c>
      <c r="M97" s="25" t="n">
        <f aca="false">IF(C97="","",INDEX(Giorni!$M$2:$M$367,C97-Giorni!$A$2+1))</f>
        <v>0</v>
      </c>
      <c r="N97" s="25" t="n">
        <f aca="false">IF(D97="","",INDEX(Giorni!$M$2:$M$367,D97-Giorni!$A$2+1))</f>
        <v>0</v>
      </c>
      <c r="O97" s="25" t="n">
        <f aca="false">IF(E97="","",INDEX(Giorni!$M$2:$M$367,E97-Giorni!$A$2+1))</f>
        <v>0</v>
      </c>
      <c r="P97" s="25" t="n">
        <f aca="false">IF(F97="","",INDEX(Giorni!$M$2:$M$367,F97-Giorni!$A$2+1))</f>
        <v>1</v>
      </c>
      <c r="Q97" s="25" t="n">
        <f aca="false">IF(G97="","",INDEX(Giorni!$M$2:$M$367,G97-Giorni!$A$2+1))</f>
        <v>2</v>
      </c>
    </row>
    <row r="98" customFormat="false" ht="27" hidden="false" customHeight="true" outlineLevel="0" collapsed="false">
      <c r="A98" s="26"/>
      <c r="B98" s="26"/>
      <c r="C98" s="26"/>
      <c r="D98" s="26"/>
      <c r="E98" s="26"/>
      <c r="F98" s="26"/>
      <c r="G98" s="26"/>
    </row>
    <row r="99" customFormat="false" ht="13.5" hidden="false" customHeight="true" outlineLevel="0" collapsed="false">
      <c r="A99" s="24" t="n">
        <f aca="false">IF(MONTH($J$89-WEEKDAY($J$89,2)+29)=MONTH($J$89),$J$89-WEEKDAY($J$89,2)+29,"")</f>
        <v>46475</v>
      </c>
      <c r="B99" s="24" t="n">
        <f aca="false">IF(MONTH($J$89-WEEKDAY($J$89,2)+30)=MONTH($J$89),$J$89-WEEKDAY($J$89,2)+30,"")</f>
        <v>46476</v>
      </c>
      <c r="C99" s="24" t="n">
        <f aca="false">IF(MONTH($J$89-WEEKDAY($J$89,2)+31)=MONTH($J$89),$J$89-WEEKDAY($J$89,2)+31,"")</f>
        <v>46477</v>
      </c>
      <c r="D99" s="24" t="str">
        <f aca="false">IF(MONTH($J$89-WEEKDAY($J$89,2)+32)=MONTH($J$89),$J$89-WEEKDAY($J$89,2)+32,"")</f>
        <v/>
      </c>
      <c r="E99" s="24" t="str">
        <f aca="false">IF(MONTH($J$89-WEEKDAY($J$89,2)+33)=MONTH($J$89),$J$89-WEEKDAY($J$89,2)+33,"")</f>
        <v/>
      </c>
      <c r="F99" s="24" t="str">
        <f aca="false">IF(MONTH($J$89-WEEKDAY($J$89,2)+34)=MONTH($J$89),$J$89-WEEKDAY($J$89,2)+34,"")</f>
        <v/>
      </c>
      <c r="G99" s="24" t="str">
        <f aca="false">IF(MONTH($J$89-WEEKDAY($J$89,2)+35)=MONTH($J$89),$J$89-WEEKDAY($J$89,2)+35,"")</f>
        <v/>
      </c>
      <c r="K99" s="25" t="n">
        <f aca="false">IF(A99="","",INDEX(Giorni!$M$2:$M$367,A99-Giorni!$A$2+1))</f>
        <v>2</v>
      </c>
      <c r="L99" s="25" t="n">
        <f aca="false">IF(B99="","",INDEX(Giorni!$M$2:$M$367,B99-Giorni!$A$2+1))</f>
        <v>0</v>
      </c>
      <c r="M99" s="25" t="n">
        <f aca="false">IF(C99="","",INDEX(Giorni!$M$2:$M$367,C99-Giorni!$A$2+1))</f>
        <v>0</v>
      </c>
      <c r="N99" s="0" t="str">
        <f aca="false">IF(D99="","",INDEX(Giorni!$M$2:$M$367,D99-Giorni!$A$2+1))</f>
        <v/>
      </c>
      <c r="O99" s="0" t="str">
        <f aca="false">IF(E99="","",INDEX(Giorni!$M$2:$M$367,E99-Giorni!$A$2+1))</f>
        <v/>
      </c>
      <c r="P99" s="0" t="str">
        <f aca="false">IF(F99="","",INDEX(Giorni!$M$2:$M$367,F99-Giorni!$A$2+1))</f>
        <v/>
      </c>
      <c r="Q99" s="0" t="str">
        <f aca="false">IF(G99="","",INDEX(Giorni!$M$2:$M$367,G99-Giorni!$A$2+1))</f>
        <v/>
      </c>
    </row>
    <row r="100" customFormat="false" ht="27" hidden="false" customHeight="true" outlineLevel="0" collapsed="false">
      <c r="A100" s="26"/>
      <c r="B100" s="26"/>
      <c r="C100" s="26"/>
      <c r="D100" s="26"/>
      <c r="E100" s="26"/>
      <c r="F100" s="26"/>
      <c r="G100" s="26"/>
    </row>
    <row r="101" customFormat="false" ht="13.5" hidden="false" customHeight="true" outlineLevel="0" collapsed="false">
      <c r="A101" s="24" t="str">
        <f aca="false">IF(MONTH($J$89-WEEKDAY($J$89,2)+36)=MONTH($J$89),$J$89-WEEKDAY($J$89,2)+36,"")</f>
        <v/>
      </c>
      <c r="B101" s="24" t="str">
        <f aca="false">IF(MONTH($J$89-WEEKDAY($J$89,2)+37)=MONTH($J$89),$J$89-WEEKDAY($J$89,2)+37,"")</f>
        <v/>
      </c>
      <c r="C101" s="24" t="str">
        <f aca="false">IF(MONTH($J$89-WEEKDAY($J$89,2)+38)=MONTH($J$89),$J$89-WEEKDAY($J$89,2)+38,"")</f>
        <v/>
      </c>
      <c r="D101" s="24" t="str">
        <f aca="false">IF(MONTH($J$89-WEEKDAY($J$89,2)+39)=MONTH($J$89),$J$89-WEEKDAY($J$89,2)+39,"")</f>
        <v/>
      </c>
      <c r="E101" s="24" t="str">
        <f aca="false">IF(MONTH($J$89-WEEKDAY($J$89,2)+40)=MONTH($J$89),$J$89-WEEKDAY($J$89,2)+40,"")</f>
        <v/>
      </c>
      <c r="F101" s="24" t="str">
        <f aca="false">IF(MONTH($J$89-WEEKDAY($J$89,2)+41)=MONTH($J$89),$J$89-WEEKDAY($J$89,2)+41,"")</f>
        <v/>
      </c>
      <c r="G101" s="24" t="str">
        <f aca="false">IF(MONTH($J$89-WEEKDAY($J$89,2)+42)=MONTH($J$89),$J$89-WEEKDAY($J$89,2)+42,"")</f>
        <v/>
      </c>
      <c r="K101" s="0" t="str">
        <f aca="false">IF(A101="","",INDEX(Giorni!$M$2:$M$367,A101-Giorni!$A$2+1))</f>
        <v/>
      </c>
      <c r="L101" s="0" t="str">
        <f aca="false">IF(B101="","",INDEX(Giorni!$M$2:$M$367,B101-Giorni!$A$2+1))</f>
        <v/>
      </c>
      <c r="M101" s="0" t="str">
        <f aca="false">IF(C101="","",INDEX(Giorni!$M$2:$M$367,C101-Giorni!$A$2+1))</f>
        <v/>
      </c>
      <c r="N101" s="0" t="str">
        <f aca="false">IF(D101="","",INDEX(Giorni!$M$2:$M$367,D101-Giorni!$A$2+1))</f>
        <v/>
      </c>
      <c r="O101" s="0" t="str">
        <f aca="false">IF(E101="","",INDEX(Giorni!$M$2:$M$367,E101-Giorni!$A$2+1))</f>
        <v/>
      </c>
      <c r="P101" s="0" t="str">
        <f aca="false">IF(F101="","",INDEX(Giorni!$M$2:$M$367,F101-Giorni!$A$2+1))</f>
        <v/>
      </c>
      <c r="Q101" s="0" t="str">
        <f aca="false">IF(G101="","",INDEX(Giorni!$M$2:$M$367,G101-Giorni!$A$2+1))</f>
        <v/>
      </c>
    </row>
    <row r="102" customFormat="false" ht="27" hidden="false" customHeight="true" outlineLevel="0" collapsed="false">
      <c r="A102" s="26"/>
      <c r="B102" s="26"/>
      <c r="C102" s="26"/>
      <c r="D102" s="26"/>
      <c r="E102" s="26"/>
      <c r="F102" s="26"/>
      <c r="G102" s="26"/>
    </row>
    <row r="103" customFormat="false" ht="9.75" hidden="false" customHeight="true" outlineLevel="0" collapsed="false"/>
    <row r="104" customFormat="false" ht="24" hidden="false" customHeight="true" outlineLevel="0" collapsed="false">
      <c r="A104" s="21" t="str">
        <f aca="false">CHOOSE(MONTH($J104),"GENNAIO","FEBBRAIO","MARZO","APRILE","MAGGIO","GIUGNO","LUGLIO","AGOSTO","SETTEMBRE","OTTOBRE","NOVEMBRE","DICEMBRE")&amp;" "&amp;YEAR($J104)</f>
        <v>APRILE 2027</v>
      </c>
      <c r="B104" s="21"/>
      <c r="C104" s="21"/>
      <c r="D104" s="21"/>
      <c r="E104" s="21"/>
      <c r="F104" s="21"/>
      <c r="G104" s="21"/>
      <c r="J104" s="25" t="n">
        <f aca="false">EDATE(J89,1)</f>
        <v>46478</v>
      </c>
    </row>
    <row r="105" customFormat="false" ht="15.75" hidden="false" customHeight="true" outlineLevel="0" collapsed="false">
      <c r="A105" s="22" t="s">
        <v>10</v>
      </c>
      <c r="B105" s="22" t="s">
        <v>11</v>
      </c>
      <c r="C105" s="22" t="s">
        <v>11</v>
      </c>
      <c r="D105" s="22" t="s">
        <v>6</v>
      </c>
      <c r="E105" s="22" t="s">
        <v>12</v>
      </c>
      <c r="F105" s="23" t="s">
        <v>13</v>
      </c>
      <c r="G105" s="23" t="s">
        <v>14</v>
      </c>
    </row>
    <row r="106" customFormat="false" ht="13.5" hidden="false" customHeight="true" outlineLevel="0" collapsed="false">
      <c r="A106" s="24" t="str">
        <f aca="false">IF(MONTH($J$104-WEEKDAY($J$104,2)+1)=MONTH($J$104),$J$104-WEEKDAY($J$104,2)+1,"")</f>
        <v/>
      </c>
      <c r="B106" s="24" t="str">
        <f aca="false">IF(MONTH($J$104-WEEKDAY($J$104,2)+2)=MONTH($J$104),$J$104-WEEKDAY($J$104,2)+2,"")</f>
        <v/>
      </c>
      <c r="C106" s="24" t="str">
        <f aca="false">IF(MONTH($J$104-WEEKDAY($J$104,2)+3)=MONTH($J$104),$J$104-WEEKDAY($J$104,2)+3,"")</f>
        <v/>
      </c>
      <c r="D106" s="24" t="n">
        <f aca="false">IF(MONTH($J$104-WEEKDAY($J$104,2)+4)=MONTH($J$104),$J$104-WEEKDAY($J$104,2)+4,"")</f>
        <v>46478</v>
      </c>
      <c r="E106" s="24" t="n">
        <f aca="false">IF(MONTH($J$104-WEEKDAY($J$104,2)+5)=MONTH($J$104),$J$104-WEEKDAY($J$104,2)+5,"")</f>
        <v>46479</v>
      </c>
      <c r="F106" s="24" t="n">
        <f aca="false">IF(MONTH($J$104-WEEKDAY($J$104,2)+6)=MONTH($J$104),$J$104-WEEKDAY($J$104,2)+6,"")</f>
        <v>46480</v>
      </c>
      <c r="G106" s="24" t="n">
        <f aca="false">IF(MONTH($J$104-WEEKDAY($J$104,2)+7)=MONTH($J$104),$J$104-WEEKDAY($J$104,2)+7,"")</f>
        <v>46481</v>
      </c>
      <c r="K106" s="0" t="str">
        <f aca="false">IF(A106="","",INDEX(Giorni!$M$2:$M$367,A106-Giorni!$A$2+1))</f>
        <v/>
      </c>
      <c r="L106" s="0" t="str">
        <f aca="false">IF(B106="","",INDEX(Giorni!$M$2:$M$367,B106-Giorni!$A$2+1))</f>
        <v/>
      </c>
      <c r="M106" s="0" t="str">
        <f aca="false">IF(C106="","",INDEX(Giorni!$M$2:$M$367,C106-Giorni!$A$2+1))</f>
        <v/>
      </c>
      <c r="N106" s="25" t="n">
        <f aca="false">IF(D106="","",INDEX(Giorni!$M$2:$M$367,D106-Giorni!$A$2+1))</f>
        <v>0</v>
      </c>
      <c r="O106" s="25" t="n">
        <f aca="false">IF(E106="","",INDEX(Giorni!$M$2:$M$367,E106-Giorni!$A$2+1))</f>
        <v>0</v>
      </c>
      <c r="P106" s="25" t="n">
        <f aca="false">IF(F106="","",INDEX(Giorni!$M$2:$M$367,F106-Giorni!$A$2+1))</f>
        <v>1</v>
      </c>
      <c r="Q106" s="25" t="n">
        <f aca="false">IF(G106="","",INDEX(Giorni!$M$2:$M$367,G106-Giorni!$A$2+1))</f>
        <v>1</v>
      </c>
    </row>
    <row r="107" customFormat="false" ht="27" hidden="false" customHeight="true" outlineLevel="0" collapsed="false">
      <c r="A107" s="26"/>
      <c r="B107" s="26"/>
      <c r="C107" s="26"/>
      <c r="D107" s="26"/>
      <c r="E107" s="26"/>
      <c r="F107" s="26"/>
      <c r="G107" s="26"/>
    </row>
    <row r="108" customFormat="false" ht="13.5" hidden="false" customHeight="true" outlineLevel="0" collapsed="false">
      <c r="A108" s="24" t="n">
        <f aca="false">IF(MONTH($J$104-WEEKDAY($J$104,2)+8)=MONTH($J$104),$J$104-WEEKDAY($J$104,2)+8,"")</f>
        <v>46482</v>
      </c>
      <c r="B108" s="24" t="n">
        <f aca="false">IF(MONTH($J$104-WEEKDAY($J$104,2)+9)=MONTH($J$104),$J$104-WEEKDAY($J$104,2)+9,"")</f>
        <v>46483</v>
      </c>
      <c r="C108" s="24" t="n">
        <f aca="false">IF(MONTH($J$104-WEEKDAY($J$104,2)+10)=MONTH($J$104),$J$104-WEEKDAY($J$104,2)+10,"")</f>
        <v>46484</v>
      </c>
      <c r="D108" s="24" t="n">
        <f aca="false">IF(MONTH($J$104-WEEKDAY($J$104,2)+11)=MONTH($J$104),$J$104-WEEKDAY($J$104,2)+11,"")</f>
        <v>46485</v>
      </c>
      <c r="E108" s="24" t="n">
        <f aca="false">IF(MONTH($J$104-WEEKDAY($J$104,2)+12)=MONTH($J$104),$J$104-WEEKDAY($J$104,2)+12,"")</f>
        <v>46486</v>
      </c>
      <c r="F108" s="24" t="n">
        <f aca="false">IF(MONTH($J$104-WEEKDAY($J$104,2)+13)=MONTH($J$104),$J$104-WEEKDAY($J$104,2)+13,"")</f>
        <v>46487</v>
      </c>
      <c r="G108" s="24" t="n">
        <f aca="false">IF(MONTH($J$104-WEEKDAY($J$104,2)+14)=MONTH($J$104),$J$104-WEEKDAY($J$104,2)+14,"")</f>
        <v>46488</v>
      </c>
      <c r="K108" s="25" t="n">
        <f aca="false">IF(A108="","",INDEX(Giorni!$M$2:$M$367,A108-Giorni!$A$2+1))</f>
        <v>0</v>
      </c>
      <c r="L108" s="25" t="n">
        <f aca="false">IF(B108="","",INDEX(Giorni!$M$2:$M$367,B108-Giorni!$A$2+1))</f>
        <v>0</v>
      </c>
      <c r="M108" s="25" t="n">
        <f aca="false">IF(C108="","",INDEX(Giorni!$M$2:$M$367,C108-Giorni!$A$2+1))</f>
        <v>0</v>
      </c>
      <c r="N108" s="25" t="n">
        <f aca="false">IF(D108="","",INDEX(Giorni!$M$2:$M$367,D108-Giorni!$A$2+1))</f>
        <v>0</v>
      </c>
      <c r="O108" s="25" t="n">
        <f aca="false">IF(E108="","",INDEX(Giorni!$M$2:$M$367,E108-Giorni!$A$2+1))</f>
        <v>0</v>
      </c>
      <c r="P108" s="25" t="n">
        <f aca="false">IF(F108="","",INDEX(Giorni!$M$2:$M$367,F108-Giorni!$A$2+1))</f>
        <v>1</v>
      </c>
      <c r="Q108" s="25" t="n">
        <f aca="false">IF(G108="","",INDEX(Giorni!$M$2:$M$367,G108-Giorni!$A$2+1))</f>
        <v>1</v>
      </c>
    </row>
    <row r="109" customFormat="false" ht="27" hidden="false" customHeight="true" outlineLevel="0" collapsed="false">
      <c r="A109" s="26"/>
      <c r="B109" s="26"/>
      <c r="C109" s="26"/>
      <c r="D109" s="26"/>
      <c r="E109" s="26"/>
      <c r="F109" s="26"/>
      <c r="G109" s="26"/>
    </row>
    <row r="110" customFormat="false" ht="13.5" hidden="false" customHeight="true" outlineLevel="0" collapsed="false">
      <c r="A110" s="24" t="n">
        <f aca="false">IF(MONTH($J$104-WEEKDAY($J$104,2)+15)=MONTH($J$104),$J$104-WEEKDAY($J$104,2)+15,"")</f>
        <v>46489</v>
      </c>
      <c r="B110" s="24" t="n">
        <f aca="false">IF(MONTH($J$104-WEEKDAY($J$104,2)+16)=MONTH($J$104),$J$104-WEEKDAY($J$104,2)+16,"")</f>
        <v>46490</v>
      </c>
      <c r="C110" s="24" t="n">
        <f aca="false">IF(MONTH($J$104-WEEKDAY($J$104,2)+17)=MONTH($J$104),$J$104-WEEKDAY($J$104,2)+17,"")</f>
        <v>46491</v>
      </c>
      <c r="D110" s="24" t="n">
        <f aca="false">IF(MONTH($J$104-WEEKDAY($J$104,2)+18)=MONTH($J$104),$J$104-WEEKDAY($J$104,2)+18,"")</f>
        <v>46492</v>
      </c>
      <c r="E110" s="24" t="n">
        <f aca="false">IF(MONTH($J$104-WEEKDAY($J$104,2)+19)=MONTH($J$104),$J$104-WEEKDAY($J$104,2)+19,"")</f>
        <v>46493</v>
      </c>
      <c r="F110" s="24" t="n">
        <f aca="false">IF(MONTH($J$104-WEEKDAY($J$104,2)+20)=MONTH($J$104),$J$104-WEEKDAY($J$104,2)+20,"")</f>
        <v>46494</v>
      </c>
      <c r="G110" s="24" t="n">
        <f aca="false">IF(MONTH($J$104-WEEKDAY($J$104,2)+21)=MONTH($J$104),$J$104-WEEKDAY($J$104,2)+21,"")</f>
        <v>46495</v>
      </c>
      <c r="K110" s="25" t="n">
        <f aca="false">IF(A110="","",INDEX(Giorni!$M$2:$M$367,A110-Giorni!$A$2+1))</f>
        <v>0</v>
      </c>
      <c r="L110" s="25" t="n">
        <f aca="false">IF(B110="","",INDEX(Giorni!$M$2:$M$367,B110-Giorni!$A$2+1))</f>
        <v>0</v>
      </c>
      <c r="M110" s="25" t="n">
        <f aca="false">IF(C110="","",INDEX(Giorni!$M$2:$M$367,C110-Giorni!$A$2+1))</f>
        <v>0</v>
      </c>
      <c r="N110" s="25" t="n">
        <f aca="false">IF(D110="","",INDEX(Giorni!$M$2:$M$367,D110-Giorni!$A$2+1))</f>
        <v>0</v>
      </c>
      <c r="O110" s="25" t="n">
        <f aca="false">IF(E110="","",INDEX(Giorni!$M$2:$M$367,E110-Giorni!$A$2+1))</f>
        <v>0</v>
      </c>
      <c r="P110" s="25" t="n">
        <f aca="false">IF(F110="","",INDEX(Giorni!$M$2:$M$367,F110-Giorni!$A$2+1))</f>
        <v>1</v>
      </c>
      <c r="Q110" s="25" t="n">
        <f aca="false">IF(G110="","",INDEX(Giorni!$M$2:$M$367,G110-Giorni!$A$2+1))</f>
        <v>1</v>
      </c>
    </row>
    <row r="111" customFormat="false" ht="27" hidden="false" customHeight="true" outlineLevel="0" collapsed="false">
      <c r="A111" s="26"/>
      <c r="B111" s="26"/>
      <c r="C111" s="26"/>
      <c r="D111" s="26"/>
      <c r="E111" s="26"/>
      <c r="F111" s="26"/>
      <c r="G111" s="26"/>
    </row>
    <row r="112" customFormat="false" ht="13.5" hidden="false" customHeight="true" outlineLevel="0" collapsed="false">
      <c r="A112" s="24" t="n">
        <f aca="false">IF(MONTH($J$104-WEEKDAY($J$104,2)+22)=MONTH($J$104),$J$104-WEEKDAY($J$104,2)+22,"")</f>
        <v>46496</v>
      </c>
      <c r="B112" s="24" t="n">
        <f aca="false">IF(MONTH($J$104-WEEKDAY($J$104,2)+23)=MONTH($J$104),$J$104-WEEKDAY($J$104,2)+23,"")</f>
        <v>46497</v>
      </c>
      <c r="C112" s="24" t="n">
        <f aca="false">IF(MONTH($J$104-WEEKDAY($J$104,2)+24)=MONTH($J$104),$J$104-WEEKDAY($J$104,2)+24,"")</f>
        <v>46498</v>
      </c>
      <c r="D112" s="24" t="n">
        <f aca="false">IF(MONTH($J$104-WEEKDAY($J$104,2)+25)=MONTH($J$104),$J$104-WEEKDAY($J$104,2)+25,"")</f>
        <v>46499</v>
      </c>
      <c r="E112" s="24" t="n">
        <f aca="false">IF(MONTH($J$104-WEEKDAY($J$104,2)+26)=MONTH($J$104),$J$104-WEEKDAY($J$104,2)+26,"")</f>
        <v>46500</v>
      </c>
      <c r="F112" s="24" t="n">
        <f aca="false">IF(MONTH($J$104-WEEKDAY($J$104,2)+27)=MONTH($J$104),$J$104-WEEKDAY($J$104,2)+27,"")</f>
        <v>46501</v>
      </c>
      <c r="G112" s="24" t="n">
        <f aca="false">IF(MONTH($J$104-WEEKDAY($J$104,2)+28)=MONTH($J$104),$J$104-WEEKDAY($J$104,2)+28,"")</f>
        <v>46502</v>
      </c>
      <c r="K112" s="25" t="n">
        <f aca="false">IF(A112="","",INDEX(Giorni!$M$2:$M$367,A112-Giorni!$A$2+1))</f>
        <v>0</v>
      </c>
      <c r="L112" s="25" t="n">
        <f aca="false">IF(B112="","",INDEX(Giorni!$M$2:$M$367,B112-Giorni!$A$2+1))</f>
        <v>0</v>
      </c>
      <c r="M112" s="25" t="n">
        <f aca="false">IF(C112="","",INDEX(Giorni!$M$2:$M$367,C112-Giorni!$A$2+1))</f>
        <v>0</v>
      </c>
      <c r="N112" s="25" t="n">
        <f aca="false">IF(D112="","",INDEX(Giorni!$M$2:$M$367,D112-Giorni!$A$2+1))</f>
        <v>0</v>
      </c>
      <c r="O112" s="25" t="n">
        <f aca="false">IF(E112="","",INDEX(Giorni!$M$2:$M$367,E112-Giorni!$A$2+1))</f>
        <v>0</v>
      </c>
      <c r="P112" s="25" t="n">
        <f aca="false">IF(F112="","",INDEX(Giorni!$M$2:$M$367,F112-Giorni!$A$2+1))</f>
        <v>1</v>
      </c>
      <c r="Q112" s="25" t="n">
        <f aca="false">IF(G112="","",INDEX(Giorni!$M$2:$M$367,G112-Giorni!$A$2+1))</f>
        <v>2</v>
      </c>
    </row>
    <row r="113" customFormat="false" ht="27" hidden="false" customHeight="true" outlineLevel="0" collapsed="false">
      <c r="A113" s="26"/>
      <c r="B113" s="26"/>
      <c r="C113" s="26"/>
      <c r="D113" s="26"/>
      <c r="E113" s="26"/>
      <c r="F113" s="26"/>
      <c r="G113" s="26"/>
    </row>
    <row r="114" customFormat="false" ht="13.5" hidden="false" customHeight="true" outlineLevel="0" collapsed="false">
      <c r="A114" s="24" t="n">
        <f aca="false">IF(MONTH($J$104-WEEKDAY($J$104,2)+29)=MONTH($J$104),$J$104-WEEKDAY($J$104,2)+29,"")</f>
        <v>46503</v>
      </c>
      <c r="B114" s="24" t="n">
        <f aca="false">IF(MONTH($J$104-WEEKDAY($J$104,2)+30)=MONTH($J$104),$J$104-WEEKDAY($J$104,2)+30,"")</f>
        <v>46504</v>
      </c>
      <c r="C114" s="24" t="n">
        <f aca="false">IF(MONTH($J$104-WEEKDAY($J$104,2)+31)=MONTH($J$104),$J$104-WEEKDAY($J$104,2)+31,"")</f>
        <v>46505</v>
      </c>
      <c r="D114" s="24" t="n">
        <f aca="false">IF(MONTH($J$104-WEEKDAY($J$104,2)+32)=MONTH($J$104),$J$104-WEEKDAY($J$104,2)+32,"")</f>
        <v>46506</v>
      </c>
      <c r="E114" s="24" t="n">
        <f aca="false">IF(MONTH($J$104-WEEKDAY($J$104,2)+33)=MONTH($J$104),$J$104-WEEKDAY($J$104,2)+33,"")</f>
        <v>46507</v>
      </c>
      <c r="F114" s="24" t="str">
        <f aca="false">IF(MONTH($J$104-WEEKDAY($J$104,2)+34)=MONTH($J$104),$J$104-WEEKDAY($J$104,2)+34,"")</f>
        <v/>
      </c>
      <c r="G114" s="24" t="str">
        <f aca="false">IF(MONTH($J$104-WEEKDAY($J$104,2)+35)=MONTH($J$104),$J$104-WEEKDAY($J$104,2)+35,"")</f>
        <v/>
      </c>
      <c r="K114" s="25" t="n">
        <f aca="false">IF(A114="","",INDEX(Giorni!$M$2:$M$367,A114-Giorni!$A$2+1))</f>
        <v>0</v>
      </c>
      <c r="L114" s="25" t="n">
        <f aca="false">IF(B114="","",INDEX(Giorni!$M$2:$M$367,B114-Giorni!$A$2+1))</f>
        <v>0</v>
      </c>
      <c r="M114" s="25" t="n">
        <f aca="false">IF(C114="","",INDEX(Giorni!$M$2:$M$367,C114-Giorni!$A$2+1))</f>
        <v>0</v>
      </c>
      <c r="N114" s="25" t="n">
        <f aca="false">IF(D114="","",INDEX(Giorni!$M$2:$M$367,D114-Giorni!$A$2+1))</f>
        <v>0</v>
      </c>
      <c r="O114" s="25" t="n">
        <f aca="false">IF(E114="","",INDEX(Giorni!$M$2:$M$367,E114-Giorni!$A$2+1))</f>
        <v>0</v>
      </c>
      <c r="P114" s="0" t="str">
        <f aca="false">IF(F114="","",INDEX(Giorni!$M$2:$M$367,F114-Giorni!$A$2+1))</f>
        <v/>
      </c>
      <c r="Q114" s="0" t="str">
        <f aca="false">IF(G114="","",INDEX(Giorni!$M$2:$M$367,G114-Giorni!$A$2+1))</f>
        <v/>
      </c>
    </row>
    <row r="115" customFormat="false" ht="27" hidden="false" customHeight="true" outlineLevel="0" collapsed="false">
      <c r="A115" s="26"/>
      <c r="B115" s="26"/>
      <c r="C115" s="26"/>
      <c r="D115" s="26"/>
      <c r="E115" s="26"/>
      <c r="F115" s="26"/>
      <c r="G115" s="26"/>
    </row>
    <row r="116" customFormat="false" ht="13.5" hidden="false" customHeight="true" outlineLevel="0" collapsed="false">
      <c r="A116" s="24" t="str">
        <f aca="false">IF(MONTH($J$104-WEEKDAY($J$104,2)+36)=MONTH($J$104),$J$104-WEEKDAY($J$104,2)+36,"")</f>
        <v/>
      </c>
      <c r="B116" s="24" t="str">
        <f aca="false">IF(MONTH($J$104-WEEKDAY($J$104,2)+37)=MONTH($J$104),$J$104-WEEKDAY($J$104,2)+37,"")</f>
        <v/>
      </c>
      <c r="C116" s="24" t="str">
        <f aca="false">IF(MONTH($J$104-WEEKDAY($J$104,2)+38)=MONTH($J$104),$J$104-WEEKDAY($J$104,2)+38,"")</f>
        <v/>
      </c>
      <c r="D116" s="24" t="str">
        <f aca="false">IF(MONTH($J$104-WEEKDAY($J$104,2)+39)=MONTH($J$104),$J$104-WEEKDAY($J$104,2)+39,"")</f>
        <v/>
      </c>
      <c r="E116" s="24" t="str">
        <f aca="false">IF(MONTH($J$104-WEEKDAY($J$104,2)+40)=MONTH($J$104),$J$104-WEEKDAY($J$104,2)+40,"")</f>
        <v/>
      </c>
      <c r="F116" s="24" t="str">
        <f aca="false">IF(MONTH($J$104-WEEKDAY($J$104,2)+41)=MONTH($J$104),$J$104-WEEKDAY($J$104,2)+41,"")</f>
        <v/>
      </c>
      <c r="G116" s="24" t="str">
        <f aca="false">IF(MONTH($J$104-WEEKDAY($J$104,2)+42)=MONTH($J$104),$J$104-WEEKDAY($J$104,2)+42,"")</f>
        <v/>
      </c>
      <c r="K116" s="0" t="str">
        <f aca="false">IF(A116="","",INDEX(Giorni!$M$2:$M$367,A116-Giorni!$A$2+1))</f>
        <v/>
      </c>
      <c r="L116" s="0" t="str">
        <f aca="false">IF(B116="","",INDEX(Giorni!$M$2:$M$367,B116-Giorni!$A$2+1))</f>
        <v/>
      </c>
      <c r="M116" s="0" t="str">
        <f aca="false">IF(C116="","",INDEX(Giorni!$M$2:$M$367,C116-Giorni!$A$2+1))</f>
        <v/>
      </c>
      <c r="N116" s="0" t="str">
        <f aca="false">IF(D116="","",INDEX(Giorni!$M$2:$M$367,D116-Giorni!$A$2+1))</f>
        <v/>
      </c>
      <c r="O116" s="0" t="str">
        <f aca="false">IF(E116="","",INDEX(Giorni!$M$2:$M$367,E116-Giorni!$A$2+1))</f>
        <v/>
      </c>
      <c r="P116" s="0" t="str">
        <f aca="false">IF(F116="","",INDEX(Giorni!$M$2:$M$367,F116-Giorni!$A$2+1))</f>
        <v/>
      </c>
      <c r="Q116" s="0" t="str">
        <f aca="false">IF(G116="","",INDEX(Giorni!$M$2:$M$367,G116-Giorni!$A$2+1))</f>
        <v/>
      </c>
    </row>
    <row r="117" customFormat="false" ht="27" hidden="false" customHeight="true" outlineLevel="0" collapsed="false">
      <c r="A117" s="26"/>
      <c r="B117" s="26"/>
      <c r="C117" s="26"/>
      <c r="D117" s="26"/>
      <c r="E117" s="26"/>
      <c r="F117" s="26"/>
      <c r="G117" s="26"/>
    </row>
    <row r="118" customFormat="false" ht="9.75" hidden="false" customHeight="true" outlineLevel="0" collapsed="false"/>
    <row r="119" customFormat="false" ht="24" hidden="false" customHeight="true" outlineLevel="0" collapsed="false">
      <c r="A119" s="21" t="str">
        <f aca="false">CHOOSE(MONTH($J119),"GENNAIO","FEBBRAIO","MARZO","APRILE","MAGGIO","GIUGNO","LUGLIO","AGOSTO","SETTEMBRE","OTTOBRE","NOVEMBRE","DICEMBRE")&amp;" "&amp;YEAR($J119)</f>
        <v>MAGGIO 2027</v>
      </c>
      <c r="B119" s="21"/>
      <c r="C119" s="21"/>
      <c r="D119" s="21"/>
      <c r="E119" s="21"/>
      <c r="F119" s="21"/>
      <c r="G119" s="21"/>
      <c r="J119" s="25" t="n">
        <f aca="false">EDATE(J104,1)</f>
        <v>46508</v>
      </c>
    </row>
    <row r="120" customFormat="false" ht="15.75" hidden="false" customHeight="true" outlineLevel="0" collapsed="false">
      <c r="A120" s="22" t="s">
        <v>10</v>
      </c>
      <c r="B120" s="22" t="s">
        <v>11</v>
      </c>
      <c r="C120" s="22" t="s">
        <v>11</v>
      </c>
      <c r="D120" s="22" t="s">
        <v>6</v>
      </c>
      <c r="E120" s="22" t="s">
        <v>12</v>
      </c>
      <c r="F120" s="23" t="s">
        <v>13</v>
      </c>
      <c r="G120" s="23" t="s">
        <v>14</v>
      </c>
    </row>
    <row r="121" customFormat="false" ht="13.5" hidden="false" customHeight="true" outlineLevel="0" collapsed="false">
      <c r="A121" s="24" t="str">
        <f aca="false">IF(MONTH($J$119-WEEKDAY($J$119,2)+1)=MONTH($J$119),$J$119-WEEKDAY($J$119,2)+1,"")</f>
        <v/>
      </c>
      <c r="B121" s="24" t="str">
        <f aca="false">IF(MONTH($J$119-WEEKDAY($J$119,2)+2)=MONTH($J$119),$J$119-WEEKDAY($J$119,2)+2,"")</f>
        <v/>
      </c>
      <c r="C121" s="24" t="str">
        <f aca="false">IF(MONTH($J$119-WEEKDAY($J$119,2)+3)=MONTH($J$119),$J$119-WEEKDAY($J$119,2)+3,"")</f>
        <v/>
      </c>
      <c r="D121" s="24" t="str">
        <f aca="false">IF(MONTH($J$119-WEEKDAY($J$119,2)+4)=MONTH($J$119),$J$119-WEEKDAY($J$119,2)+4,"")</f>
        <v/>
      </c>
      <c r="E121" s="24" t="str">
        <f aca="false">IF(MONTH($J$119-WEEKDAY($J$119,2)+5)=MONTH($J$119),$J$119-WEEKDAY($J$119,2)+5,"")</f>
        <v/>
      </c>
      <c r="F121" s="24" t="n">
        <f aca="false">IF(MONTH($J$119-WEEKDAY($J$119,2)+6)=MONTH($J$119),$J$119-WEEKDAY($J$119,2)+6,"")</f>
        <v>46508</v>
      </c>
      <c r="G121" s="24" t="n">
        <f aca="false">IF(MONTH($J$119-WEEKDAY($J$119,2)+7)=MONTH($J$119),$J$119-WEEKDAY($J$119,2)+7,"")</f>
        <v>46509</v>
      </c>
      <c r="K121" s="0" t="str">
        <f aca="false">IF(A121="","",INDEX(Giorni!$M$2:$M$367,A121-Giorni!$A$2+1))</f>
        <v/>
      </c>
      <c r="L121" s="0" t="str">
        <f aca="false">IF(B121="","",INDEX(Giorni!$M$2:$M$367,B121-Giorni!$A$2+1))</f>
        <v/>
      </c>
      <c r="M121" s="0" t="str">
        <f aca="false">IF(C121="","",INDEX(Giorni!$M$2:$M$367,C121-Giorni!$A$2+1))</f>
        <v/>
      </c>
      <c r="N121" s="0" t="str">
        <f aca="false">IF(D121="","",INDEX(Giorni!$M$2:$M$367,D121-Giorni!$A$2+1))</f>
        <v/>
      </c>
      <c r="O121" s="0" t="str">
        <f aca="false">IF(E121="","",INDEX(Giorni!$M$2:$M$367,E121-Giorni!$A$2+1))</f>
        <v/>
      </c>
      <c r="P121" s="25" t="n">
        <f aca="false">IF(F121="","",INDEX(Giorni!$M$2:$M$367,F121-Giorni!$A$2+1))</f>
        <v>2</v>
      </c>
      <c r="Q121" s="25" t="n">
        <f aca="false">IF(G121="","",INDEX(Giorni!$M$2:$M$367,G121-Giorni!$A$2+1))</f>
        <v>1</v>
      </c>
    </row>
    <row r="122" customFormat="false" ht="27" hidden="false" customHeight="true" outlineLevel="0" collapsed="false">
      <c r="A122" s="26"/>
      <c r="B122" s="26"/>
      <c r="C122" s="26"/>
      <c r="D122" s="26"/>
      <c r="E122" s="26"/>
      <c r="F122" s="26"/>
      <c r="G122" s="26"/>
    </row>
    <row r="123" customFormat="false" ht="13.5" hidden="false" customHeight="true" outlineLevel="0" collapsed="false">
      <c r="A123" s="24" t="n">
        <f aca="false">IF(MONTH($J$119-WEEKDAY($J$119,2)+8)=MONTH($J$119),$J$119-WEEKDAY($J$119,2)+8,"")</f>
        <v>46510</v>
      </c>
      <c r="B123" s="24" t="n">
        <f aca="false">IF(MONTH($J$119-WEEKDAY($J$119,2)+9)=MONTH($J$119),$J$119-WEEKDAY($J$119,2)+9,"")</f>
        <v>46511</v>
      </c>
      <c r="C123" s="24" t="n">
        <f aca="false">IF(MONTH($J$119-WEEKDAY($J$119,2)+10)=MONTH($J$119),$J$119-WEEKDAY($J$119,2)+10,"")</f>
        <v>46512</v>
      </c>
      <c r="D123" s="24" t="n">
        <f aca="false">IF(MONTH($J$119-WEEKDAY($J$119,2)+11)=MONTH($J$119),$J$119-WEEKDAY($J$119,2)+11,"")</f>
        <v>46513</v>
      </c>
      <c r="E123" s="24" t="n">
        <f aca="false">IF(MONTH($J$119-WEEKDAY($J$119,2)+12)=MONTH($J$119),$J$119-WEEKDAY($J$119,2)+12,"")</f>
        <v>46514</v>
      </c>
      <c r="F123" s="24" t="n">
        <f aca="false">IF(MONTH($J$119-WEEKDAY($J$119,2)+13)=MONTH($J$119),$J$119-WEEKDAY($J$119,2)+13,"")</f>
        <v>46515</v>
      </c>
      <c r="G123" s="24" t="n">
        <f aca="false">IF(MONTH($J$119-WEEKDAY($J$119,2)+14)=MONTH($J$119),$J$119-WEEKDAY($J$119,2)+14,"")</f>
        <v>46516</v>
      </c>
      <c r="K123" s="25" t="n">
        <f aca="false">IF(A123="","",INDEX(Giorni!$M$2:$M$367,A123-Giorni!$A$2+1))</f>
        <v>0</v>
      </c>
      <c r="L123" s="25" t="n">
        <f aca="false">IF(B123="","",INDEX(Giorni!$M$2:$M$367,B123-Giorni!$A$2+1))</f>
        <v>0</v>
      </c>
      <c r="M123" s="25" t="n">
        <f aca="false">IF(C123="","",INDEX(Giorni!$M$2:$M$367,C123-Giorni!$A$2+1))</f>
        <v>0</v>
      </c>
      <c r="N123" s="25" t="n">
        <f aca="false">IF(D123="","",INDEX(Giorni!$M$2:$M$367,D123-Giorni!$A$2+1))</f>
        <v>0</v>
      </c>
      <c r="O123" s="25" t="n">
        <f aca="false">IF(E123="","",INDEX(Giorni!$M$2:$M$367,E123-Giorni!$A$2+1))</f>
        <v>0</v>
      </c>
      <c r="P123" s="25" t="n">
        <f aca="false">IF(F123="","",INDEX(Giorni!$M$2:$M$367,F123-Giorni!$A$2+1))</f>
        <v>1</v>
      </c>
      <c r="Q123" s="25" t="n">
        <f aca="false">IF(G123="","",INDEX(Giorni!$M$2:$M$367,G123-Giorni!$A$2+1))</f>
        <v>1</v>
      </c>
    </row>
    <row r="124" customFormat="false" ht="27" hidden="false" customHeight="true" outlineLevel="0" collapsed="false">
      <c r="A124" s="26"/>
      <c r="B124" s="26"/>
      <c r="C124" s="26"/>
      <c r="D124" s="26"/>
      <c r="E124" s="26"/>
      <c r="F124" s="26"/>
      <c r="G124" s="26"/>
    </row>
    <row r="125" customFormat="false" ht="13.5" hidden="false" customHeight="true" outlineLevel="0" collapsed="false">
      <c r="A125" s="24" t="n">
        <f aca="false">IF(MONTH($J$119-WEEKDAY($J$119,2)+15)=MONTH($J$119),$J$119-WEEKDAY($J$119,2)+15,"")</f>
        <v>46517</v>
      </c>
      <c r="B125" s="24" t="n">
        <f aca="false">IF(MONTH($J$119-WEEKDAY($J$119,2)+16)=MONTH($J$119),$J$119-WEEKDAY($J$119,2)+16,"")</f>
        <v>46518</v>
      </c>
      <c r="C125" s="24" t="n">
        <f aca="false">IF(MONTH($J$119-WEEKDAY($J$119,2)+17)=MONTH($J$119),$J$119-WEEKDAY($J$119,2)+17,"")</f>
        <v>46519</v>
      </c>
      <c r="D125" s="24" t="n">
        <f aca="false">IF(MONTH($J$119-WEEKDAY($J$119,2)+18)=MONTH($J$119),$J$119-WEEKDAY($J$119,2)+18,"")</f>
        <v>46520</v>
      </c>
      <c r="E125" s="24" t="n">
        <f aca="false">IF(MONTH($J$119-WEEKDAY($J$119,2)+19)=MONTH($J$119),$J$119-WEEKDAY($J$119,2)+19,"")</f>
        <v>46521</v>
      </c>
      <c r="F125" s="24" t="n">
        <f aca="false">IF(MONTH($J$119-WEEKDAY($J$119,2)+20)=MONTH($J$119),$J$119-WEEKDAY($J$119,2)+20,"")</f>
        <v>46522</v>
      </c>
      <c r="G125" s="24" t="n">
        <f aca="false">IF(MONTH($J$119-WEEKDAY($J$119,2)+21)=MONTH($J$119),$J$119-WEEKDAY($J$119,2)+21,"")</f>
        <v>46523</v>
      </c>
      <c r="K125" s="25" t="n">
        <f aca="false">IF(A125="","",INDEX(Giorni!$M$2:$M$367,A125-Giorni!$A$2+1))</f>
        <v>0</v>
      </c>
      <c r="L125" s="25" t="n">
        <f aca="false">IF(B125="","",INDEX(Giorni!$M$2:$M$367,B125-Giorni!$A$2+1))</f>
        <v>0</v>
      </c>
      <c r="M125" s="25" t="n">
        <f aca="false">IF(C125="","",INDEX(Giorni!$M$2:$M$367,C125-Giorni!$A$2+1))</f>
        <v>0</v>
      </c>
      <c r="N125" s="25" t="n">
        <f aca="false">IF(D125="","",INDEX(Giorni!$M$2:$M$367,D125-Giorni!$A$2+1))</f>
        <v>0</v>
      </c>
      <c r="O125" s="25" t="n">
        <f aca="false">IF(E125="","",INDEX(Giorni!$M$2:$M$367,E125-Giorni!$A$2+1))</f>
        <v>0</v>
      </c>
      <c r="P125" s="25" t="n">
        <f aca="false">IF(F125="","",INDEX(Giorni!$M$2:$M$367,F125-Giorni!$A$2+1))</f>
        <v>1</v>
      </c>
      <c r="Q125" s="25" t="n">
        <f aca="false">IF(G125="","",INDEX(Giorni!$M$2:$M$367,G125-Giorni!$A$2+1))</f>
        <v>1</v>
      </c>
    </row>
    <row r="126" customFormat="false" ht="27" hidden="false" customHeight="true" outlineLevel="0" collapsed="false">
      <c r="A126" s="26"/>
      <c r="B126" s="26"/>
      <c r="C126" s="26"/>
      <c r="D126" s="26"/>
      <c r="E126" s="26"/>
      <c r="F126" s="26"/>
      <c r="G126" s="26"/>
    </row>
    <row r="127" customFormat="false" ht="13.5" hidden="false" customHeight="true" outlineLevel="0" collapsed="false">
      <c r="A127" s="24" t="n">
        <f aca="false">IF(MONTH($J$119-WEEKDAY($J$119,2)+22)=MONTH($J$119),$J$119-WEEKDAY($J$119,2)+22,"")</f>
        <v>46524</v>
      </c>
      <c r="B127" s="24" t="n">
        <f aca="false">IF(MONTH($J$119-WEEKDAY($J$119,2)+23)=MONTH($J$119),$J$119-WEEKDAY($J$119,2)+23,"")</f>
        <v>46525</v>
      </c>
      <c r="C127" s="24" t="n">
        <f aca="false">IF(MONTH($J$119-WEEKDAY($J$119,2)+24)=MONTH($J$119),$J$119-WEEKDAY($J$119,2)+24,"")</f>
        <v>46526</v>
      </c>
      <c r="D127" s="24" t="n">
        <f aca="false">IF(MONTH($J$119-WEEKDAY($J$119,2)+25)=MONTH($J$119),$J$119-WEEKDAY($J$119,2)+25,"")</f>
        <v>46527</v>
      </c>
      <c r="E127" s="24" t="n">
        <f aca="false">IF(MONTH($J$119-WEEKDAY($J$119,2)+26)=MONTH($J$119),$J$119-WEEKDAY($J$119,2)+26,"")</f>
        <v>46528</v>
      </c>
      <c r="F127" s="24" t="n">
        <f aca="false">IF(MONTH($J$119-WEEKDAY($J$119,2)+27)=MONTH($J$119),$J$119-WEEKDAY($J$119,2)+27,"")</f>
        <v>46529</v>
      </c>
      <c r="G127" s="24" t="n">
        <f aca="false">IF(MONTH($J$119-WEEKDAY($J$119,2)+28)=MONTH($J$119),$J$119-WEEKDAY($J$119,2)+28,"")</f>
        <v>46530</v>
      </c>
      <c r="K127" s="25" t="n">
        <f aca="false">IF(A127="","",INDEX(Giorni!$M$2:$M$367,A127-Giorni!$A$2+1))</f>
        <v>0</v>
      </c>
      <c r="L127" s="25" t="n">
        <f aca="false">IF(B127="","",INDEX(Giorni!$M$2:$M$367,B127-Giorni!$A$2+1))</f>
        <v>0</v>
      </c>
      <c r="M127" s="25" t="n">
        <f aca="false">IF(C127="","",INDEX(Giorni!$M$2:$M$367,C127-Giorni!$A$2+1))</f>
        <v>0</v>
      </c>
      <c r="N127" s="25" t="n">
        <f aca="false">IF(D127="","",INDEX(Giorni!$M$2:$M$367,D127-Giorni!$A$2+1))</f>
        <v>0</v>
      </c>
      <c r="O127" s="25" t="n">
        <f aca="false">IF(E127="","",INDEX(Giorni!$M$2:$M$367,E127-Giorni!$A$2+1))</f>
        <v>0</v>
      </c>
      <c r="P127" s="25" t="n">
        <f aca="false">IF(F127="","",INDEX(Giorni!$M$2:$M$367,F127-Giorni!$A$2+1))</f>
        <v>1</v>
      </c>
      <c r="Q127" s="25" t="n">
        <f aca="false">IF(G127="","",INDEX(Giorni!$M$2:$M$367,G127-Giorni!$A$2+1))</f>
        <v>1</v>
      </c>
    </row>
    <row r="128" customFormat="false" ht="27" hidden="false" customHeight="true" outlineLevel="0" collapsed="false">
      <c r="A128" s="26"/>
      <c r="B128" s="26"/>
      <c r="C128" s="26"/>
      <c r="D128" s="26"/>
      <c r="E128" s="26"/>
      <c r="F128" s="26"/>
      <c r="G128" s="26"/>
    </row>
    <row r="129" customFormat="false" ht="13.5" hidden="false" customHeight="true" outlineLevel="0" collapsed="false">
      <c r="A129" s="24" t="n">
        <f aca="false">IF(MONTH($J$119-WEEKDAY($J$119,2)+29)=MONTH($J$119),$J$119-WEEKDAY($J$119,2)+29,"")</f>
        <v>46531</v>
      </c>
      <c r="B129" s="24" t="n">
        <f aca="false">IF(MONTH($J$119-WEEKDAY($J$119,2)+30)=MONTH($J$119),$J$119-WEEKDAY($J$119,2)+30,"")</f>
        <v>46532</v>
      </c>
      <c r="C129" s="24" t="n">
        <f aca="false">IF(MONTH($J$119-WEEKDAY($J$119,2)+31)=MONTH($J$119),$J$119-WEEKDAY($J$119,2)+31,"")</f>
        <v>46533</v>
      </c>
      <c r="D129" s="24" t="n">
        <f aca="false">IF(MONTH($J$119-WEEKDAY($J$119,2)+32)=MONTH($J$119),$J$119-WEEKDAY($J$119,2)+32,"")</f>
        <v>46534</v>
      </c>
      <c r="E129" s="24" t="n">
        <f aca="false">IF(MONTH($J$119-WEEKDAY($J$119,2)+33)=MONTH($J$119),$J$119-WEEKDAY($J$119,2)+33,"")</f>
        <v>46535</v>
      </c>
      <c r="F129" s="24" t="n">
        <f aca="false">IF(MONTH($J$119-WEEKDAY($J$119,2)+34)=MONTH($J$119),$J$119-WEEKDAY($J$119,2)+34,"")</f>
        <v>46536</v>
      </c>
      <c r="G129" s="24" t="n">
        <f aca="false">IF(MONTH($J$119-WEEKDAY($J$119,2)+35)=MONTH($J$119),$J$119-WEEKDAY($J$119,2)+35,"")</f>
        <v>46537</v>
      </c>
      <c r="K129" s="25" t="n">
        <f aca="false">IF(A129="","",INDEX(Giorni!$M$2:$M$367,A129-Giorni!$A$2+1))</f>
        <v>0</v>
      </c>
      <c r="L129" s="25" t="n">
        <f aca="false">IF(B129="","",INDEX(Giorni!$M$2:$M$367,B129-Giorni!$A$2+1))</f>
        <v>0</v>
      </c>
      <c r="M129" s="25" t="n">
        <f aca="false">IF(C129="","",INDEX(Giorni!$M$2:$M$367,C129-Giorni!$A$2+1))</f>
        <v>0</v>
      </c>
      <c r="N129" s="25" t="n">
        <f aca="false">IF(D129="","",INDEX(Giorni!$M$2:$M$367,D129-Giorni!$A$2+1))</f>
        <v>0</v>
      </c>
      <c r="O129" s="25" t="n">
        <f aca="false">IF(E129="","",INDEX(Giorni!$M$2:$M$367,E129-Giorni!$A$2+1))</f>
        <v>0</v>
      </c>
      <c r="P129" s="25" t="n">
        <f aca="false">IF(F129="","",INDEX(Giorni!$M$2:$M$367,F129-Giorni!$A$2+1))</f>
        <v>1</v>
      </c>
      <c r="Q129" s="25" t="n">
        <f aca="false">IF(G129="","",INDEX(Giorni!$M$2:$M$367,G129-Giorni!$A$2+1))</f>
        <v>1</v>
      </c>
    </row>
    <row r="130" customFormat="false" ht="27" hidden="false" customHeight="true" outlineLevel="0" collapsed="false">
      <c r="A130" s="26"/>
      <c r="B130" s="26"/>
      <c r="C130" s="26"/>
      <c r="D130" s="26"/>
      <c r="E130" s="26"/>
      <c r="F130" s="26"/>
      <c r="G130" s="26"/>
    </row>
    <row r="131" customFormat="false" ht="13.5" hidden="false" customHeight="true" outlineLevel="0" collapsed="false">
      <c r="A131" s="24" t="n">
        <f aca="false">IF(MONTH($J$119-WEEKDAY($J$119,2)+36)=MONTH($J$119),$J$119-WEEKDAY($J$119,2)+36,"")</f>
        <v>46538</v>
      </c>
      <c r="B131" s="24" t="str">
        <f aca="false">IF(MONTH($J$119-WEEKDAY($J$119,2)+37)=MONTH($J$119),$J$119-WEEKDAY($J$119,2)+37,"")</f>
        <v/>
      </c>
      <c r="C131" s="24" t="str">
        <f aca="false">IF(MONTH($J$119-WEEKDAY($J$119,2)+38)=MONTH($J$119),$J$119-WEEKDAY($J$119,2)+38,"")</f>
        <v/>
      </c>
      <c r="D131" s="24" t="str">
        <f aca="false">IF(MONTH($J$119-WEEKDAY($J$119,2)+39)=MONTH($J$119),$J$119-WEEKDAY($J$119,2)+39,"")</f>
        <v/>
      </c>
      <c r="E131" s="24" t="str">
        <f aca="false">IF(MONTH($J$119-WEEKDAY($J$119,2)+40)=MONTH($J$119),$J$119-WEEKDAY($J$119,2)+40,"")</f>
        <v/>
      </c>
      <c r="F131" s="24" t="str">
        <f aca="false">IF(MONTH($J$119-WEEKDAY($J$119,2)+41)=MONTH($J$119),$J$119-WEEKDAY($J$119,2)+41,"")</f>
        <v/>
      </c>
      <c r="G131" s="24" t="str">
        <f aca="false">IF(MONTH($J$119-WEEKDAY($J$119,2)+42)=MONTH($J$119),$J$119-WEEKDAY($J$119,2)+42,"")</f>
        <v/>
      </c>
      <c r="K131" s="25" t="n">
        <f aca="false">IF(A131="","",INDEX(Giorni!$M$2:$M$367,A131-Giorni!$A$2+1))</f>
        <v>0</v>
      </c>
      <c r="L131" s="0" t="str">
        <f aca="false">IF(B131="","",INDEX(Giorni!$M$2:$M$367,B131-Giorni!$A$2+1))</f>
        <v/>
      </c>
      <c r="M131" s="0" t="str">
        <f aca="false">IF(C131="","",INDEX(Giorni!$M$2:$M$367,C131-Giorni!$A$2+1))</f>
        <v/>
      </c>
      <c r="N131" s="0" t="str">
        <f aca="false">IF(D131="","",INDEX(Giorni!$M$2:$M$367,D131-Giorni!$A$2+1))</f>
        <v/>
      </c>
      <c r="O131" s="0" t="str">
        <f aca="false">IF(E131="","",INDEX(Giorni!$M$2:$M$367,E131-Giorni!$A$2+1))</f>
        <v/>
      </c>
      <c r="P131" s="0" t="str">
        <f aca="false">IF(F131="","",INDEX(Giorni!$M$2:$M$367,F131-Giorni!$A$2+1))</f>
        <v/>
      </c>
      <c r="Q131" s="0" t="str">
        <f aca="false">IF(G131="","",INDEX(Giorni!$M$2:$M$367,G131-Giorni!$A$2+1))</f>
        <v/>
      </c>
    </row>
    <row r="132" customFormat="false" ht="27" hidden="false" customHeight="true" outlineLevel="0" collapsed="false">
      <c r="A132" s="26"/>
      <c r="B132" s="26"/>
      <c r="C132" s="26"/>
      <c r="D132" s="26"/>
      <c r="E132" s="26"/>
      <c r="F132" s="26"/>
      <c r="G132" s="26"/>
    </row>
    <row r="133" customFormat="false" ht="9.75" hidden="false" customHeight="true" outlineLevel="0" collapsed="false"/>
    <row r="134" customFormat="false" ht="24" hidden="false" customHeight="true" outlineLevel="0" collapsed="false">
      <c r="A134" s="21" t="str">
        <f aca="false">CHOOSE(MONTH($J134),"GENNAIO","FEBBRAIO","MARZO","APRILE","MAGGIO","GIUGNO","LUGLIO","AGOSTO","SETTEMBRE","OTTOBRE","NOVEMBRE","DICEMBRE")&amp;" "&amp;YEAR($J134)</f>
        <v>GIUGNO 2027</v>
      </c>
      <c r="B134" s="21"/>
      <c r="C134" s="21"/>
      <c r="D134" s="21"/>
      <c r="E134" s="21"/>
      <c r="F134" s="21"/>
      <c r="G134" s="21"/>
      <c r="J134" s="25" t="n">
        <f aca="false">EDATE(J119,1)</f>
        <v>46539</v>
      </c>
    </row>
    <row r="135" customFormat="false" ht="15.75" hidden="false" customHeight="true" outlineLevel="0" collapsed="false">
      <c r="A135" s="22" t="s">
        <v>10</v>
      </c>
      <c r="B135" s="22" t="s">
        <v>11</v>
      </c>
      <c r="C135" s="22" t="s">
        <v>11</v>
      </c>
      <c r="D135" s="22" t="s">
        <v>6</v>
      </c>
      <c r="E135" s="22" t="s">
        <v>12</v>
      </c>
      <c r="F135" s="23" t="s">
        <v>13</v>
      </c>
      <c r="G135" s="23" t="s">
        <v>14</v>
      </c>
    </row>
    <row r="136" customFormat="false" ht="13.5" hidden="false" customHeight="true" outlineLevel="0" collapsed="false">
      <c r="A136" s="24" t="str">
        <f aca="false">IF(MONTH($J$134-WEEKDAY($J$134,2)+1)=MONTH($J$134),$J$134-WEEKDAY($J$134,2)+1,"")</f>
        <v/>
      </c>
      <c r="B136" s="24" t="n">
        <f aca="false">IF(MONTH($J$134-WEEKDAY($J$134,2)+2)=MONTH($J$134),$J$134-WEEKDAY($J$134,2)+2,"")</f>
        <v>46539</v>
      </c>
      <c r="C136" s="24" t="n">
        <f aca="false">IF(MONTH($J$134-WEEKDAY($J$134,2)+3)=MONTH($J$134),$J$134-WEEKDAY($J$134,2)+3,"")</f>
        <v>46540</v>
      </c>
      <c r="D136" s="24" t="n">
        <f aca="false">IF(MONTH($J$134-WEEKDAY($J$134,2)+4)=MONTH($J$134),$J$134-WEEKDAY($J$134,2)+4,"")</f>
        <v>46541</v>
      </c>
      <c r="E136" s="24" t="n">
        <f aca="false">IF(MONTH($J$134-WEEKDAY($J$134,2)+5)=MONTH($J$134),$J$134-WEEKDAY($J$134,2)+5,"")</f>
        <v>46542</v>
      </c>
      <c r="F136" s="24" t="n">
        <f aca="false">IF(MONTH($J$134-WEEKDAY($J$134,2)+6)=MONTH($J$134),$J$134-WEEKDAY($J$134,2)+6,"")</f>
        <v>46543</v>
      </c>
      <c r="G136" s="24" t="n">
        <f aca="false">IF(MONTH($J$134-WEEKDAY($J$134,2)+7)=MONTH($J$134),$J$134-WEEKDAY($J$134,2)+7,"")</f>
        <v>46544</v>
      </c>
      <c r="K136" s="0" t="str">
        <f aca="false">IF(A136="","",INDEX(Giorni!$M$2:$M$367,A136-Giorni!$A$2+1))</f>
        <v/>
      </c>
      <c r="L136" s="25" t="n">
        <f aca="false">IF(B136="","",INDEX(Giorni!$M$2:$M$367,B136-Giorni!$A$2+1))</f>
        <v>0</v>
      </c>
      <c r="M136" s="25" t="n">
        <f aca="false">IF(C136="","",INDEX(Giorni!$M$2:$M$367,C136-Giorni!$A$2+1))</f>
        <v>2</v>
      </c>
      <c r="N136" s="25" t="n">
        <f aca="false">IF(D136="","",INDEX(Giorni!$M$2:$M$367,D136-Giorni!$A$2+1))</f>
        <v>0</v>
      </c>
      <c r="O136" s="25" t="n">
        <f aca="false">IF(E136="","",INDEX(Giorni!$M$2:$M$367,E136-Giorni!$A$2+1))</f>
        <v>0</v>
      </c>
      <c r="P136" s="25" t="n">
        <f aca="false">IF(F136="","",INDEX(Giorni!$M$2:$M$367,F136-Giorni!$A$2+1))</f>
        <v>1</v>
      </c>
      <c r="Q136" s="25" t="n">
        <f aca="false">IF(G136="","",INDEX(Giorni!$M$2:$M$367,G136-Giorni!$A$2+1))</f>
        <v>1</v>
      </c>
    </row>
    <row r="137" customFormat="false" ht="27" hidden="false" customHeight="true" outlineLevel="0" collapsed="false">
      <c r="A137" s="26"/>
      <c r="B137" s="26"/>
      <c r="C137" s="26"/>
      <c r="D137" s="26"/>
      <c r="E137" s="26"/>
      <c r="F137" s="26"/>
      <c r="G137" s="26"/>
    </row>
    <row r="138" customFormat="false" ht="13.5" hidden="false" customHeight="true" outlineLevel="0" collapsed="false">
      <c r="A138" s="24" t="n">
        <f aca="false">IF(MONTH($J$134-WEEKDAY($J$134,2)+8)=MONTH($J$134),$J$134-WEEKDAY($J$134,2)+8,"")</f>
        <v>46545</v>
      </c>
      <c r="B138" s="24" t="n">
        <f aca="false">IF(MONTH($J$134-WEEKDAY($J$134,2)+9)=MONTH($J$134),$J$134-WEEKDAY($J$134,2)+9,"")</f>
        <v>46546</v>
      </c>
      <c r="C138" s="24" t="n">
        <f aca="false">IF(MONTH($J$134-WEEKDAY($J$134,2)+10)=MONTH($J$134),$J$134-WEEKDAY($J$134,2)+10,"")</f>
        <v>46547</v>
      </c>
      <c r="D138" s="24" t="n">
        <f aca="false">IF(MONTH($J$134-WEEKDAY($J$134,2)+11)=MONTH($J$134),$J$134-WEEKDAY($J$134,2)+11,"")</f>
        <v>46548</v>
      </c>
      <c r="E138" s="24" t="n">
        <f aca="false">IF(MONTH($J$134-WEEKDAY($J$134,2)+12)=MONTH($J$134),$J$134-WEEKDAY($J$134,2)+12,"")</f>
        <v>46549</v>
      </c>
      <c r="F138" s="24" t="n">
        <f aca="false">IF(MONTH($J$134-WEEKDAY($J$134,2)+13)=MONTH($J$134),$J$134-WEEKDAY($J$134,2)+13,"")</f>
        <v>46550</v>
      </c>
      <c r="G138" s="24" t="n">
        <f aca="false">IF(MONTH($J$134-WEEKDAY($J$134,2)+14)=MONTH($J$134),$J$134-WEEKDAY($J$134,2)+14,"")</f>
        <v>46551</v>
      </c>
      <c r="K138" s="25" t="n">
        <f aca="false">IF(A138="","",INDEX(Giorni!$M$2:$M$367,A138-Giorni!$A$2+1))</f>
        <v>0</v>
      </c>
      <c r="L138" s="25" t="n">
        <f aca="false">IF(B138="","",INDEX(Giorni!$M$2:$M$367,B138-Giorni!$A$2+1))</f>
        <v>0</v>
      </c>
      <c r="M138" s="25" t="n">
        <f aca="false">IF(C138="","",INDEX(Giorni!$M$2:$M$367,C138-Giorni!$A$2+1))</f>
        <v>0</v>
      </c>
      <c r="N138" s="25" t="n">
        <f aca="false">IF(D138="","",INDEX(Giorni!$M$2:$M$367,D138-Giorni!$A$2+1))</f>
        <v>0</v>
      </c>
      <c r="O138" s="25" t="n">
        <f aca="false">IF(E138="","",INDEX(Giorni!$M$2:$M$367,E138-Giorni!$A$2+1))</f>
        <v>0</v>
      </c>
      <c r="P138" s="25" t="n">
        <f aca="false">IF(F138="","",INDEX(Giorni!$M$2:$M$367,F138-Giorni!$A$2+1))</f>
        <v>1</v>
      </c>
      <c r="Q138" s="25" t="n">
        <f aca="false">IF(G138="","",INDEX(Giorni!$M$2:$M$367,G138-Giorni!$A$2+1))</f>
        <v>1</v>
      </c>
    </row>
    <row r="139" customFormat="false" ht="27" hidden="false" customHeight="true" outlineLevel="0" collapsed="false">
      <c r="A139" s="26"/>
      <c r="B139" s="26"/>
      <c r="C139" s="26"/>
      <c r="D139" s="26"/>
      <c r="E139" s="26"/>
      <c r="F139" s="26"/>
      <c r="G139" s="26"/>
    </row>
    <row r="140" customFormat="false" ht="13.5" hidden="false" customHeight="true" outlineLevel="0" collapsed="false">
      <c r="A140" s="24" t="n">
        <f aca="false">IF(MONTH($J$134-WEEKDAY($J$134,2)+15)=MONTH($J$134),$J$134-WEEKDAY($J$134,2)+15,"")</f>
        <v>46552</v>
      </c>
      <c r="B140" s="24" t="n">
        <f aca="false">IF(MONTH($J$134-WEEKDAY($J$134,2)+16)=MONTH($J$134),$J$134-WEEKDAY($J$134,2)+16,"")</f>
        <v>46553</v>
      </c>
      <c r="C140" s="24" t="n">
        <f aca="false">IF(MONTH($J$134-WEEKDAY($J$134,2)+17)=MONTH($J$134),$J$134-WEEKDAY($J$134,2)+17,"")</f>
        <v>46554</v>
      </c>
      <c r="D140" s="24" t="n">
        <f aca="false">IF(MONTH($J$134-WEEKDAY($J$134,2)+18)=MONTH($J$134),$J$134-WEEKDAY($J$134,2)+18,"")</f>
        <v>46555</v>
      </c>
      <c r="E140" s="24" t="n">
        <f aca="false">IF(MONTH($J$134-WEEKDAY($J$134,2)+19)=MONTH($J$134),$J$134-WEEKDAY($J$134,2)+19,"")</f>
        <v>46556</v>
      </c>
      <c r="F140" s="24" t="n">
        <f aca="false">IF(MONTH($J$134-WEEKDAY($J$134,2)+20)=MONTH($J$134),$J$134-WEEKDAY($J$134,2)+20,"")</f>
        <v>46557</v>
      </c>
      <c r="G140" s="24" t="n">
        <f aca="false">IF(MONTH($J$134-WEEKDAY($J$134,2)+21)=MONTH($J$134),$J$134-WEEKDAY($J$134,2)+21,"")</f>
        <v>46558</v>
      </c>
      <c r="K140" s="25" t="n">
        <f aca="false">IF(A140="","",INDEX(Giorni!$M$2:$M$367,A140-Giorni!$A$2+1))</f>
        <v>0</v>
      </c>
      <c r="L140" s="25" t="n">
        <f aca="false">IF(B140="","",INDEX(Giorni!$M$2:$M$367,B140-Giorni!$A$2+1))</f>
        <v>0</v>
      </c>
      <c r="M140" s="25" t="n">
        <f aca="false">IF(C140="","",INDEX(Giorni!$M$2:$M$367,C140-Giorni!$A$2+1))</f>
        <v>0</v>
      </c>
      <c r="N140" s="25" t="n">
        <f aca="false">IF(D140="","",INDEX(Giorni!$M$2:$M$367,D140-Giorni!$A$2+1))</f>
        <v>0</v>
      </c>
      <c r="O140" s="25" t="n">
        <f aca="false">IF(E140="","",INDEX(Giorni!$M$2:$M$367,E140-Giorni!$A$2+1))</f>
        <v>0</v>
      </c>
      <c r="P140" s="25" t="n">
        <f aca="false">IF(F140="","",INDEX(Giorni!$M$2:$M$367,F140-Giorni!$A$2+1))</f>
        <v>1</v>
      </c>
      <c r="Q140" s="25" t="n">
        <f aca="false">IF(G140="","",INDEX(Giorni!$M$2:$M$367,G140-Giorni!$A$2+1))</f>
        <v>1</v>
      </c>
    </row>
    <row r="141" customFormat="false" ht="27" hidden="false" customHeight="true" outlineLevel="0" collapsed="false">
      <c r="A141" s="26"/>
      <c r="B141" s="26"/>
      <c r="C141" s="26"/>
      <c r="D141" s="26"/>
      <c r="E141" s="26"/>
      <c r="F141" s="26"/>
      <c r="G141" s="26"/>
    </row>
    <row r="142" customFormat="false" ht="13.5" hidden="false" customHeight="true" outlineLevel="0" collapsed="false">
      <c r="A142" s="24" t="n">
        <f aca="false">IF(MONTH($J$134-WEEKDAY($J$134,2)+22)=MONTH($J$134),$J$134-WEEKDAY($J$134,2)+22,"")</f>
        <v>46559</v>
      </c>
      <c r="B142" s="24" t="n">
        <f aca="false">IF(MONTH($J$134-WEEKDAY($J$134,2)+23)=MONTH($J$134),$J$134-WEEKDAY($J$134,2)+23,"")</f>
        <v>46560</v>
      </c>
      <c r="C142" s="24" t="n">
        <f aca="false">IF(MONTH($J$134-WEEKDAY($J$134,2)+24)=MONTH($J$134),$J$134-WEEKDAY($J$134,2)+24,"")</f>
        <v>46561</v>
      </c>
      <c r="D142" s="24" t="n">
        <f aca="false">IF(MONTH($J$134-WEEKDAY($J$134,2)+25)=MONTH($J$134),$J$134-WEEKDAY($J$134,2)+25,"")</f>
        <v>46562</v>
      </c>
      <c r="E142" s="24" t="n">
        <f aca="false">IF(MONTH($J$134-WEEKDAY($J$134,2)+26)=MONTH($J$134),$J$134-WEEKDAY($J$134,2)+26,"")</f>
        <v>46563</v>
      </c>
      <c r="F142" s="24" t="n">
        <f aca="false">IF(MONTH($J$134-WEEKDAY($J$134,2)+27)=MONTH($J$134),$J$134-WEEKDAY($J$134,2)+27,"")</f>
        <v>46564</v>
      </c>
      <c r="G142" s="24" t="n">
        <f aca="false">IF(MONTH($J$134-WEEKDAY($J$134,2)+28)=MONTH($J$134),$J$134-WEEKDAY($J$134,2)+28,"")</f>
        <v>46565</v>
      </c>
      <c r="K142" s="25" t="n">
        <f aca="false">IF(A142="","",INDEX(Giorni!$M$2:$M$367,A142-Giorni!$A$2+1))</f>
        <v>0</v>
      </c>
      <c r="L142" s="25" t="n">
        <f aca="false">IF(B142="","",INDEX(Giorni!$M$2:$M$367,B142-Giorni!$A$2+1))</f>
        <v>0</v>
      </c>
      <c r="M142" s="25" t="n">
        <f aca="false">IF(C142="","",INDEX(Giorni!$M$2:$M$367,C142-Giorni!$A$2+1))</f>
        <v>0</v>
      </c>
      <c r="N142" s="25" t="n">
        <f aca="false">IF(D142="","",INDEX(Giorni!$M$2:$M$367,D142-Giorni!$A$2+1))</f>
        <v>0</v>
      </c>
      <c r="O142" s="25" t="n">
        <f aca="false">IF(E142="","",INDEX(Giorni!$M$2:$M$367,E142-Giorni!$A$2+1))</f>
        <v>0</v>
      </c>
      <c r="P142" s="25" t="n">
        <f aca="false">IF(F142="","",INDEX(Giorni!$M$2:$M$367,F142-Giorni!$A$2+1))</f>
        <v>1</v>
      </c>
      <c r="Q142" s="25" t="n">
        <f aca="false">IF(G142="","",INDEX(Giorni!$M$2:$M$367,G142-Giorni!$A$2+1))</f>
        <v>1</v>
      </c>
    </row>
    <row r="143" customFormat="false" ht="27" hidden="false" customHeight="true" outlineLevel="0" collapsed="false">
      <c r="A143" s="26"/>
      <c r="B143" s="26"/>
      <c r="C143" s="26"/>
      <c r="D143" s="26"/>
      <c r="E143" s="26"/>
      <c r="F143" s="26"/>
      <c r="G143" s="26"/>
    </row>
    <row r="144" customFormat="false" ht="13.5" hidden="false" customHeight="true" outlineLevel="0" collapsed="false">
      <c r="A144" s="24" t="n">
        <f aca="false">IF(MONTH($J$134-WEEKDAY($J$134,2)+29)=MONTH($J$134),$J$134-WEEKDAY($J$134,2)+29,"")</f>
        <v>46566</v>
      </c>
      <c r="B144" s="24" t="n">
        <f aca="false">IF(MONTH($J$134-WEEKDAY($J$134,2)+30)=MONTH($J$134),$J$134-WEEKDAY($J$134,2)+30,"")</f>
        <v>46567</v>
      </c>
      <c r="C144" s="24" t="n">
        <f aca="false">IF(MONTH($J$134-WEEKDAY($J$134,2)+31)=MONTH($J$134),$J$134-WEEKDAY($J$134,2)+31,"")</f>
        <v>46568</v>
      </c>
      <c r="D144" s="24" t="str">
        <f aca="false">IF(MONTH($J$134-WEEKDAY($J$134,2)+32)=MONTH($J$134),$J$134-WEEKDAY($J$134,2)+32,"")</f>
        <v/>
      </c>
      <c r="E144" s="24" t="str">
        <f aca="false">IF(MONTH($J$134-WEEKDAY($J$134,2)+33)=MONTH($J$134),$J$134-WEEKDAY($J$134,2)+33,"")</f>
        <v/>
      </c>
      <c r="F144" s="24" t="str">
        <f aca="false">IF(MONTH($J$134-WEEKDAY($J$134,2)+34)=MONTH($J$134),$J$134-WEEKDAY($J$134,2)+34,"")</f>
        <v/>
      </c>
      <c r="G144" s="24" t="str">
        <f aca="false">IF(MONTH($J$134-WEEKDAY($J$134,2)+35)=MONTH($J$134),$J$134-WEEKDAY($J$134,2)+35,"")</f>
        <v/>
      </c>
      <c r="K144" s="25" t="n">
        <f aca="false">IF(A144="","",INDEX(Giorni!$M$2:$M$367,A144-Giorni!$A$2+1))</f>
        <v>0</v>
      </c>
      <c r="L144" s="25" t="n">
        <f aca="false">IF(B144="","",INDEX(Giorni!$M$2:$M$367,B144-Giorni!$A$2+1))</f>
        <v>0</v>
      </c>
      <c r="M144" s="25" t="n">
        <f aca="false">IF(C144="","",INDEX(Giorni!$M$2:$M$367,C144-Giorni!$A$2+1))</f>
        <v>0</v>
      </c>
      <c r="N144" s="0" t="str">
        <f aca="false">IF(D144="","",INDEX(Giorni!$M$2:$M$367,D144-Giorni!$A$2+1))</f>
        <v/>
      </c>
      <c r="O144" s="0" t="str">
        <f aca="false">IF(E144="","",INDEX(Giorni!$M$2:$M$367,E144-Giorni!$A$2+1))</f>
        <v/>
      </c>
      <c r="P144" s="0" t="str">
        <f aca="false">IF(F144="","",INDEX(Giorni!$M$2:$M$367,F144-Giorni!$A$2+1))</f>
        <v/>
      </c>
      <c r="Q144" s="0" t="str">
        <f aca="false">IF(G144="","",INDEX(Giorni!$M$2:$M$367,G144-Giorni!$A$2+1))</f>
        <v/>
      </c>
    </row>
    <row r="145" customFormat="false" ht="27" hidden="false" customHeight="true" outlineLevel="0" collapsed="false">
      <c r="A145" s="26"/>
      <c r="B145" s="26"/>
      <c r="C145" s="26"/>
      <c r="D145" s="26"/>
      <c r="E145" s="26"/>
      <c r="F145" s="26"/>
      <c r="G145" s="26"/>
    </row>
    <row r="146" customFormat="false" ht="13.5" hidden="false" customHeight="true" outlineLevel="0" collapsed="false">
      <c r="A146" s="24" t="str">
        <f aca="false">IF(MONTH($J$134-WEEKDAY($J$134,2)+36)=MONTH($J$134),$J$134-WEEKDAY($J$134,2)+36,"")</f>
        <v/>
      </c>
      <c r="B146" s="24" t="str">
        <f aca="false">IF(MONTH($J$134-WEEKDAY($J$134,2)+37)=MONTH($J$134),$J$134-WEEKDAY($J$134,2)+37,"")</f>
        <v/>
      </c>
      <c r="C146" s="24" t="str">
        <f aca="false">IF(MONTH($J$134-WEEKDAY($J$134,2)+38)=MONTH($J$134),$J$134-WEEKDAY($J$134,2)+38,"")</f>
        <v/>
      </c>
      <c r="D146" s="24" t="str">
        <f aca="false">IF(MONTH($J$134-WEEKDAY($J$134,2)+39)=MONTH($J$134),$J$134-WEEKDAY($J$134,2)+39,"")</f>
        <v/>
      </c>
      <c r="E146" s="24" t="str">
        <f aca="false">IF(MONTH($J$134-WEEKDAY($J$134,2)+40)=MONTH($J$134),$J$134-WEEKDAY($J$134,2)+40,"")</f>
        <v/>
      </c>
      <c r="F146" s="24" t="str">
        <f aca="false">IF(MONTH($J$134-WEEKDAY($J$134,2)+41)=MONTH($J$134),$J$134-WEEKDAY($J$134,2)+41,"")</f>
        <v/>
      </c>
      <c r="G146" s="24" t="str">
        <f aca="false">IF(MONTH($J$134-WEEKDAY($J$134,2)+42)=MONTH($J$134),$J$134-WEEKDAY($J$134,2)+42,"")</f>
        <v/>
      </c>
      <c r="K146" s="0" t="str">
        <f aca="false">IF(A146="","",INDEX(Giorni!$M$2:$M$367,A146-Giorni!$A$2+1))</f>
        <v/>
      </c>
      <c r="L146" s="0" t="str">
        <f aca="false">IF(B146="","",INDEX(Giorni!$M$2:$M$367,B146-Giorni!$A$2+1))</f>
        <v/>
      </c>
      <c r="M146" s="0" t="str">
        <f aca="false">IF(C146="","",INDEX(Giorni!$M$2:$M$367,C146-Giorni!$A$2+1))</f>
        <v/>
      </c>
      <c r="N146" s="0" t="str">
        <f aca="false">IF(D146="","",INDEX(Giorni!$M$2:$M$367,D146-Giorni!$A$2+1))</f>
        <v/>
      </c>
      <c r="O146" s="0" t="str">
        <f aca="false">IF(E146="","",INDEX(Giorni!$M$2:$M$367,E146-Giorni!$A$2+1))</f>
        <v/>
      </c>
      <c r="P146" s="0" t="str">
        <f aca="false">IF(F146="","",INDEX(Giorni!$M$2:$M$367,F146-Giorni!$A$2+1))</f>
        <v/>
      </c>
      <c r="Q146" s="0" t="str">
        <f aca="false">IF(G146="","",INDEX(Giorni!$M$2:$M$367,G146-Giorni!$A$2+1))</f>
        <v/>
      </c>
    </row>
    <row r="147" customFormat="false" ht="27" hidden="false" customHeight="true" outlineLevel="0" collapsed="false">
      <c r="A147" s="26"/>
      <c r="B147" s="26"/>
      <c r="C147" s="26"/>
      <c r="D147" s="26"/>
      <c r="E147" s="26"/>
      <c r="F147" s="26"/>
      <c r="G147" s="26"/>
    </row>
    <row r="148" customFormat="false" ht="9.75" hidden="false" customHeight="true" outlineLevel="0" collapsed="false"/>
    <row r="149" customFormat="false" ht="24" hidden="false" customHeight="true" outlineLevel="0" collapsed="false">
      <c r="A149" s="21" t="str">
        <f aca="false">CHOOSE(MONTH($J149),"GENNAIO","FEBBRAIO","MARZO","APRILE","MAGGIO","GIUGNO","LUGLIO","AGOSTO","SETTEMBRE","OTTOBRE","NOVEMBRE","DICEMBRE")&amp;" "&amp;YEAR($J149)</f>
        <v>LUGLIO 2027</v>
      </c>
      <c r="B149" s="21"/>
      <c r="C149" s="21"/>
      <c r="D149" s="21"/>
      <c r="E149" s="21"/>
      <c r="F149" s="21"/>
      <c r="G149" s="21"/>
      <c r="J149" s="25" t="n">
        <f aca="false">EDATE(J134,1)</f>
        <v>46569</v>
      </c>
    </row>
    <row r="150" customFormat="false" ht="15.75" hidden="false" customHeight="true" outlineLevel="0" collapsed="false">
      <c r="A150" s="22" t="s">
        <v>10</v>
      </c>
      <c r="B150" s="22" t="s">
        <v>11</v>
      </c>
      <c r="C150" s="22" t="s">
        <v>11</v>
      </c>
      <c r="D150" s="22" t="s">
        <v>6</v>
      </c>
      <c r="E150" s="22" t="s">
        <v>12</v>
      </c>
      <c r="F150" s="23" t="s">
        <v>13</v>
      </c>
      <c r="G150" s="23" t="s">
        <v>14</v>
      </c>
    </row>
    <row r="151" customFormat="false" ht="13.5" hidden="false" customHeight="true" outlineLevel="0" collapsed="false">
      <c r="A151" s="24" t="str">
        <f aca="false">IF(MONTH($J$149-WEEKDAY($J$149,2)+1)=MONTH($J$149),$J$149-WEEKDAY($J$149,2)+1,"")</f>
        <v/>
      </c>
      <c r="B151" s="24" t="str">
        <f aca="false">IF(MONTH($J$149-WEEKDAY($J$149,2)+2)=MONTH($J$149),$J$149-WEEKDAY($J$149,2)+2,"")</f>
        <v/>
      </c>
      <c r="C151" s="24" t="str">
        <f aca="false">IF(MONTH($J$149-WEEKDAY($J$149,2)+3)=MONTH($J$149),$J$149-WEEKDAY($J$149,2)+3,"")</f>
        <v/>
      </c>
      <c r="D151" s="24" t="n">
        <f aca="false">IF(MONTH($J$149-WEEKDAY($J$149,2)+4)=MONTH($J$149),$J$149-WEEKDAY($J$149,2)+4,"")</f>
        <v>46569</v>
      </c>
      <c r="E151" s="24" t="n">
        <f aca="false">IF(MONTH($J$149-WEEKDAY($J$149,2)+5)=MONTH($J$149),$J$149-WEEKDAY($J$149,2)+5,"")</f>
        <v>46570</v>
      </c>
      <c r="F151" s="24" t="n">
        <f aca="false">IF(MONTH($J$149-WEEKDAY($J$149,2)+6)=MONTH($J$149),$J$149-WEEKDAY($J$149,2)+6,"")</f>
        <v>46571</v>
      </c>
      <c r="G151" s="24" t="n">
        <f aca="false">IF(MONTH($J$149-WEEKDAY($J$149,2)+7)=MONTH($J$149),$J$149-WEEKDAY($J$149,2)+7,"")</f>
        <v>46572</v>
      </c>
      <c r="K151" s="0" t="str">
        <f aca="false">IF(A151="","",INDEX(Giorni!$M$2:$M$367,A151-Giorni!$A$2+1))</f>
        <v/>
      </c>
      <c r="L151" s="0" t="str">
        <f aca="false">IF(B151="","",INDEX(Giorni!$M$2:$M$367,B151-Giorni!$A$2+1))</f>
        <v/>
      </c>
      <c r="M151" s="0" t="str">
        <f aca="false">IF(C151="","",INDEX(Giorni!$M$2:$M$367,C151-Giorni!$A$2+1))</f>
        <v/>
      </c>
      <c r="N151" s="25" t="n">
        <f aca="false">IF(D151="","",INDEX(Giorni!$M$2:$M$367,D151-Giorni!$A$2+1))</f>
        <v>0</v>
      </c>
      <c r="O151" s="25" t="n">
        <f aca="false">IF(E151="","",INDEX(Giorni!$M$2:$M$367,E151-Giorni!$A$2+1))</f>
        <v>0</v>
      </c>
      <c r="P151" s="25" t="n">
        <f aca="false">IF(F151="","",INDEX(Giorni!$M$2:$M$367,F151-Giorni!$A$2+1))</f>
        <v>1</v>
      </c>
      <c r="Q151" s="25" t="n">
        <f aca="false">IF(G151="","",INDEX(Giorni!$M$2:$M$367,G151-Giorni!$A$2+1))</f>
        <v>1</v>
      </c>
    </row>
    <row r="152" customFormat="false" ht="27" hidden="false" customHeight="true" outlineLevel="0" collapsed="false">
      <c r="A152" s="26"/>
      <c r="B152" s="26"/>
      <c r="C152" s="26"/>
      <c r="D152" s="26"/>
      <c r="E152" s="26"/>
      <c r="F152" s="26"/>
      <c r="G152" s="26"/>
    </row>
    <row r="153" customFormat="false" ht="13.5" hidden="false" customHeight="true" outlineLevel="0" collapsed="false">
      <c r="A153" s="24" t="n">
        <f aca="false">IF(MONTH($J$149-WEEKDAY($J$149,2)+8)=MONTH($J$149),$J$149-WEEKDAY($J$149,2)+8,"")</f>
        <v>46573</v>
      </c>
      <c r="B153" s="24" t="n">
        <f aca="false">IF(MONTH($J$149-WEEKDAY($J$149,2)+9)=MONTH($J$149),$J$149-WEEKDAY($J$149,2)+9,"")</f>
        <v>46574</v>
      </c>
      <c r="C153" s="24" t="n">
        <f aca="false">IF(MONTH($J$149-WEEKDAY($J$149,2)+10)=MONTH($J$149),$J$149-WEEKDAY($J$149,2)+10,"")</f>
        <v>46575</v>
      </c>
      <c r="D153" s="24" t="n">
        <f aca="false">IF(MONTH($J$149-WEEKDAY($J$149,2)+11)=MONTH($J$149),$J$149-WEEKDAY($J$149,2)+11,"")</f>
        <v>46576</v>
      </c>
      <c r="E153" s="24" t="n">
        <f aca="false">IF(MONTH($J$149-WEEKDAY($J$149,2)+12)=MONTH($J$149),$J$149-WEEKDAY($J$149,2)+12,"")</f>
        <v>46577</v>
      </c>
      <c r="F153" s="24" t="n">
        <f aca="false">IF(MONTH($J$149-WEEKDAY($J$149,2)+13)=MONTH($J$149),$J$149-WEEKDAY($J$149,2)+13,"")</f>
        <v>46578</v>
      </c>
      <c r="G153" s="24" t="n">
        <f aca="false">IF(MONTH($J$149-WEEKDAY($J$149,2)+14)=MONTH($J$149),$J$149-WEEKDAY($J$149,2)+14,"")</f>
        <v>46579</v>
      </c>
      <c r="K153" s="25" t="n">
        <f aca="false">IF(A153="","",INDEX(Giorni!$M$2:$M$367,A153-Giorni!$A$2+1))</f>
        <v>0</v>
      </c>
      <c r="L153" s="25" t="n">
        <f aca="false">IF(B153="","",INDEX(Giorni!$M$2:$M$367,B153-Giorni!$A$2+1))</f>
        <v>0</v>
      </c>
      <c r="M153" s="25" t="n">
        <f aca="false">IF(C153="","",INDEX(Giorni!$M$2:$M$367,C153-Giorni!$A$2+1))</f>
        <v>0</v>
      </c>
      <c r="N153" s="25" t="n">
        <f aca="false">IF(D153="","",INDEX(Giorni!$M$2:$M$367,D153-Giorni!$A$2+1))</f>
        <v>0</v>
      </c>
      <c r="O153" s="25" t="n">
        <f aca="false">IF(E153="","",INDEX(Giorni!$M$2:$M$367,E153-Giorni!$A$2+1))</f>
        <v>0</v>
      </c>
      <c r="P153" s="25" t="n">
        <f aca="false">IF(F153="","",INDEX(Giorni!$M$2:$M$367,F153-Giorni!$A$2+1))</f>
        <v>1</v>
      </c>
      <c r="Q153" s="25" t="n">
        <f aca="false">IF(G153="","",INDEX(Giorni!$M$2:$M$367,G153-Giorni!$A$2+1))</f>
        <v>1</v>
      </c>
    </row>
    <row r="154" customFormat="false" ht="27" hidden="false" customHeight="true" outlineLevel="0" collapsed="false">
      <c r="A154" s="26"/>
      <c r="B154" s="26"/>
      <c r="C154" s="26"/>
      <c r="D154" s="26"/>
      <c r="E154" s="26"/>
      <c r="F154" s="26"/>
      <c r="G154" s="26"/>
    </row>
    <row r="155" customFormat="false" ht="13.5" hidden="false" customHeight="true" outlineLevel="0" collapsed="false">
      <c r="A155" s="24" t="n">
        <f aca="false">IF(MONTH($J$149-WEEKDAY($J$149,2)+15)=MONTH($J$149),$J$149-WEEKDAY($J$149,2)+15,"")</f>
        <v>46580</v>
      </c>
      <c r="B155" s="24" t="n">
        <f aca="false">IF(MONTH($J$149-WEEKDAY($J$149,2)+16)=MONTH($J$149),$J$149-WEEKDAY($J$149,2)+16,"")</f>
        <v>46581</v>
      </c>
      <c r="C155" s="24" t="n">
        <f aca="false">IF(MONTH($J$149-WEEKDAY($J$149,2)+17)=MONTH($J$149),$J$149-WEEKDAY($J$149,2)+17,"")</f>
        <v>46582</v>
      </c>
      <c r="D155" s="24" t="n">
        <f aca="false">IF(MONTH($J$149-WEEKDAY($J$149,2)+18)=MONTH($J$149),$J$149-WEEKDAY($J$149,2)+18,"")</f>
        <v>46583</v>
      </c>
      <c r="E155" s="24" t="n">
        <f aca="false">IF(MONTH($J$149-WEEKDAY($J$149,2)+19)=MONTH($J$149),$J$149-WEEKDAY($J$149,2)+19,"")</f>
        <v>46584</v>
      </c>
      <c r="F155" s="24" t="n">
        <f aca="false">IF(MONTH($J$149-WEEKDAY($J$149,2)+20)=MONTH($J$149),$J$149-WEEKDAY($J$149,2)+20,"")</f>
        <v>46585</v>
      </c>
      <c r="G155" s="24" t="n">
        <f aca="false">IF(MONTH($J$149-WEEKDAY($J$149,2)+21)=MONTH($J$149),$J$149-WEEKDAY($J$149,2)+21,"")</f>
        <v>46586</v>
      </c>
      <c r="K155" s="25" t="n">
        <f aca="false">IF(A155="","",INDEX(Giorni!$M$2:$M$367,A155-Giorni!$A$2+1))</f>
        <v>0</v>
      </c>
      <c r="L155" s="25" t="n">
        <f aca="false">IF(B155="","",INDEX(Giorni!$M$2:$M$367,B155-Giorni!$A$2+1))</f>
        <v>0</v>
      </c>
      <c r="M155" s="25" t="n">
        <f aca="false">IF(C155="","",INDEX(Giorni!$M$2:$M$367,C155-Giorni!$A$2+1))</f>
        <v>0</v>
      </c>
      <c r="N155" s="25" t="n">
        <f aca="false">IF(D155="","",INDEX(Giorni!$M$2:$M$367,D155-Giorni!$A$2+1))</f>
        <v>0</v>
      </c>
      <c r="O155" s="25" t="n">
        <f aca="false">IF(E155="","",INDEX(Giorni!$M$2:$M$367,E155-Giorni!$A$2+1))</f>
        <v>0</v>
      </c>
      <c r="P155" s="25" t="n">
        <f aca="false">IF(F155="","",INDEX(Giorni!$M$2:$M$367,F155-Giorni!$A$2+1))</f>
        <v>1</v>
      </c>
      <c r="Q155" s="25" t="n">
        <f aca="false">IF(G155="","",INDEX(Giorni!$M$2:$M$367,G155-Giorni!$A$2+1))</f>
        <v>1</v>
      </c>
    </row>
    <row r="156" customFormat="false" ht="27" hidden="false" customHeight="true" outlineLevel="0" collapsed="false">
      <c r="A156" s="26"/>
      <c r="B156" s="26"/>
      <c r="C156" s="26"/>
      <c r="D156" s="26"/>
      <c r="E156" s="26"/>
      <c r="F156" s="26"/>
      <c r="G156" s="26"/>
    </row>
    <row r="157" customFormat="false" ht="13.5" hidden="false" customHeight="true" outlineLevel="0" collapsed="false">
      <c r="A157" s="24" t="n">
        <f aca="false">IF(MONTH($J$149-WEEKDAY($J$149,2)+22)=MONTH($J$149),$J$149-WEEKDAY($J$149,2)+22,"")</f>
        <v>46587</v>
      </c>
      <c r="B157" s="24" t="n">
        <f aca="false">IF(MONTH($J$149-WEEKDAY($J$149,2)+23)=MONTH($J$149),$J$149-WEEKDAY($J$149,2)+23,"")</f>
        <v>46588</v>
      </c>
      <c r="C157" s="24" t="n">
        <f aca="false">IF(MONTH($J$149-WEEKDAY($J$149,2)+24)=MONTH($J$149),$J$149-WEEKDAY($J$149,2)+24,"")</f>
        <v>46589</v>
      </c>
      <c r="D157" s="24" t="n">
        <f aca="false">IF(MONTH($J$149-WEEKDAY($J$149,2)+25)=MONTH($J$149),$J$149-WEEKDAY($J$149,2)+25,"")</f>
        <v>46590</v>
      </c>
      <c r="E157" s="24" t="n">
        <f aca="false">IF(MONTH($J$149-WEEKDAY($J$149,2)+26)=MONTH($J$149),$J$149-WEEKDAY($J$149,2)+26,"")</f>
        <v>46591</v>
      </c>
      <c r="F157" s="24" t="n">
        <f aca="false">IF(MONTH($J$149-WEEKDAY($J$149,2)+27)=MONTH($J$149),$J$149-WEEKDAY($J$149,2)+27,"")</f>
        <v>46592</v>
      </c>
      <c r="G157" s="24" t="n">
        <f aca="false">IF(MONTH($J$149-WEEKDAY($J$149,2)+28)=MONTH($J$149),$J$149-WEEKDAY($J$149,2)+28,"")</f>
        <v>46593</v>
      </c>
      <c r="K157" s="25" t="n">
        <f aca="false">IF(A157="","",INDEX(Giorni!$M$2:$M$367,A157-Giorni!$A$2+1))</f>
        <v>0</v>
      </c>
      <c r="L157" s="25" t="n">
        <f aca="false">IF(B157="","",INDEX(Giorni!$M$2:$M$367,B157-Giorni!$A$2+1))</f>
        <v>0</v>
      </c>
      <c r="M157" s="25" t="n">
        <f aca="false">IF(C157="","",INDEX(Giorni!$M$2:$M$367,C157-Giorni!$A$2+1))</f>
        <v>0</v>
      </c>
      <c r="N157" s="25" t="n">
        <f aca="false">IF(D157="","",INDEX(Giorni!$M$2:$M$367,D157-Giorni!$A$2+1))</f>
        <v>0</v>
      </c>
      <c r="O157" s="25" t="n">
        <f aca="false">IF(E157="","",INDEX(Giorni!$M$2:$M$367,E157-Giorni!$A$2+1))</f>
        <v>0</v>
      </c>
      <c r="P157" s="25" t="n">
        <f aca="false">IF(F157="","",INDEX(Giorni!$M$2:$M$367,F157-Giorni!$A$2+1))</f>
        <v>1</v>
      </c>
      <c r="Q157" s="25" t="n">
        <f aca="false">IF(G157="","",INDEX(Giorni!$M$2:$M$367,G157-Giorni!$A$2+1))</f>
        <v>1</v>
      </c>
    </row>
    <row r="158" customFormat="false" ht="27" hidden="false" customHeight="true" outlineLevel="0" collapsed="false">
      <c r="A158" s="26"/>
      <c r="B158" s="26"/>
      <c r="C158" s="26"/>
      <c r="D158" s="26"/>
      <c r="E158" s="26"/>
      <c r="F158" s="26"/>
      <c r="G158" s="26"/>
    </row>
    <row r="159" customFormat="false" ht="13.5" hidden="false" customHeight="true" outlineLevel="0" collapsed="false">
      <c r="A159" s="24" t="n">
        <f aca="false">IF(MONTH($J$149-WEEKDAY($J$149,2)+29)=MONTH($J$149),$J$149-WEEKDAY($J$149,2)+29,"")</f>
        <v>46594</v>
      </c>
      <c r="B159" s="24" t="n">
        <f aca="false">IF(MONTH($J$149-WEEKDAY($J$149,2)+30)=MONTH($J$149),$J$149-WEEKDAY($J$149,2)+30,"")</f>
        <v>46595</v>
      </c>
      <c r="C159" s="24" t="n">
        <f aca="false">IF(MONTH($J$149-WEEKDAY($J$149,2)+31)=MONTH($J$149),$J$149-WEEKDAY($J$149,2)+31,"")</f>
        <v>46596</v>
      </c>
      <c r="D159" s="24" t="n">
        <f aca="false">IF(MONTH($J$149-WEEKDAY($J$149,2)+32)=MONTH($J$149),$J$149-WEEKDAY($J$149,2)+32,"")</f>
        <v>46597</v>
      </c>
      <c r="E159" s="24" t="n">
        <f aca="false">IF(MONTH($J$149-WEEKDAY($J$149,2)+33)=MONTH($J$149),$J$149-WEEKDAY($J$149,2)+33,"")</f>
        <v>46598</v>
      </c>
      <c r="F159" s="24" t="n">
        <f aca="false">IF(MONTH($J$149-WEEKDAY($J$149,2)+34)=MONTH($J$149),$J$149-WEEKDAY($J$149,2)+34,"")</f>
        <v>46599</v>
      </c>
      <c r="G159" s="24" t="str">
        <f aca="false">IF(MONTH($J$149-WEEKDAY($J$149,2)+35)=MONTH($J$149),$J$149-WEEKDAY($J$149,2)+35,"")</f>
        <v/>
      </c>
      <c r="K159" s="25" t="n">
        <f aca="false">IF(A159="","",INDEX(Giorni!$M$2:$M$367,A159-Giorni!$A$2+1))</f>
        <v>0</v>
      </c>
      <c r="L159" s="25" t="n">
        <f aca="false">IF(B159="","",INDEX(Giorni!$M$2:$M$367,B159-Giorni!$A$2+1))</f>
        <v>0</v>
      </c>
      <c r="M159" s="25" t="n">
        <f aca="false">IF(C159="","",INDEX(Giorni!$M$2:$M$367,C159-Giorni!$A$2+1))</f>
        <v>0</v>
      </c>
      <c r="N159" s="25" t="n">
        <f aca="false">IF(D159="","",INDEX(Giorni!$M$2:$M$367,D159-Giorni!$A$2+1))</f>
        <v>0</v>
      </c>
      <c r="O159" s="25" t="n">
        <f aca="false">IF(E159="","",INDEX(Giorni!$M$2:$M$367,E159-Giorni!$A$2+1))</f>
        <v>0</v>
      </c>
      <c r="P159" s="25" t="n">
        <f aca="false">IF(F159="","",INDEX(Giorni!$M$2:$M$367,F159-Giorni!$A$2+1))</f>
        <v>1</v>
      </c>
      <c r="Q159" s="0" t="str">
        <f aca="false">IF(G159="","",INDEX(Giorni!$M$2:$M$367,G159-Giorni!$A$2+1))</f>
        <v/>
      </c>
    </row>
    <row r="160" customFormat="false" ht="27" hidden="false" customHeight="true" outlineLevel="0" collapsed="false">
      <c r="A160" s="26"/>
      <c r="B160" s="26"/>
      <c r="C160" s="26"/>
      <c r="D160" s="26"/>
      <c r="E160" s="26"/>
      <c r="F160" s="26"/>
      <c r="G160" s="26"/>
    </row>
    <row r="161" customFormat="false" ht="13.5" hidden="false" customHeight="true" outlineLevel="0" collapsed="false">
      <c r="A161" s="24" t="str">
        <f aca="false">IF(MONTH($J$149-WEEKDAY($J$149,2)+36)=MONTH($J$149),$J$149-WEEKDAY($J$149,2)+36,"")</f>
        <v/>
      </c>
      <c r="B161" s="24" t="str">
        <f aca="false">IF(MONTH($J$149-WEEKDAY($J$149,2)+37)=MONTH($J$149),$J$149-WEEKDAY($J$149,2)+37,"")</f>
        <v/>
      </c>
      <c r="C161" s="24" t="str">
        <f aca="false">IF(MONTH($J$149-WEEKDAY($J$149,2)+38)=MONTH($J$149),$J$149-WEEKDAY($J$149,2)+38,"")</f>
        <v/>
      </c>
      <c r="D161" s="24" t="str">
        <f aca="false">IF(MONTH($J$149-WEEKDAY($J$149,2)+39)=MONTH($J$149),$J$149-WEEKDAY($J$149,2)+39,"")</f>
        <v/>
      </c>
      <c r="E161" s="24" t="str">
        <f aca="false">IF(MONTH($J$149-WEEKDAY($J$149,2)+40)=MONTH($J$149),$J$149-WEEKDAY($J$149,2)+40,"")</f>
        <v/>
      </c>
      <c r="F161" s="24" t="str">
        <f aca="false">IF(MONTH($J$149-WEEKDAY($J$149,2)+41)=MONTH($J$149),$J$149-WEEKDAY($J$149,2)+41,"")</f>
        <v/>
      </c>
      <c r="G161" s="24" t="str">
        <f aca="false">IF(MONTH($J$149-WEEKDAY($J$149,2)+42)=MONTH($J$149),$J$149-WEEKDAY($J$149,2)+42,"")</f>
        <v/>
      </c>
      <c r="K161" s="0" t="str">
        <f aca="false">IF(A161="","",INDEX(Giorni!$M$2:$M$367,A161-Giorni!$A$2+1))</f>
        <v/>
      </c>
      <c r="L161" s="0" t="str">
        <f aca="false">IF(B161="","",INDEX(Giorni!$M$2:$M$367,B161-Giorni!$A$2+1))</f>
        <v/>
      </c>
      <c r="M161" s="0" t="str">
        <f aca="false">IF(C161="","",INDEX(Giorni!$M$2:$M$367,C161-Giorni!$A$2+1))</f>
        <v/>
      </c>
      <c r="N161" s="0" t="str">
        <f aca="false">IF(D161="","",INDEX(Giorni!$M$2:$M$367,D161-Giorni!$A$2+1))</f>
        <v/>
      </c>
      <c r="O161" s="0" t="str">
        <f aca="false">IF(E161="","",INDEX(Giorni!$M$2:$M$367,E161-Giorni!$A$2+1))</f>
        <v/>
      </c>
      <c r="P161" s="0" t="str">
        <f aca="false">IF(F161="","",INDEX(Giorni!$M$2:$M$367,F161-Giorni!$A$2+1))</f>
        <v/>
      </c>
      <c r="Q161" s="0" t="str">
        <f aca="false">IF(G161="","",INDEX(Giorni!$M$2:$M$367,G161-Giorni!$A$2+1))</f>
        <v/>
      </c>
    </row>
    <row r="162" customFormat="false" ht="27" hidden="false" customHeight="true" outlineLevel="0" collapsed="false">
      <c r="A162" s="26"/>
      <c r="B162" s="26"/>
      <c r="C162" s="26"/>
      <c r="D162" s="26"/>
      <c r="E162" s="26"/>
      <c r="F162" s="26"/>
      <c r="G162" s="26"/>
    </row>
    <row r="163" customFormat="false" ht="9.75" hidden="false" customHeight="true" outlineLevel="0" collapsed="false"/>
    <row r="164" customFormat="false" ht="24" hidden="false" customHeight="true" outlineLevel="0" collapsed="false">
      <c r="A164" s="21" t="str">
        <f aca="false">CHOOSE(MONTH($J164),"GENNAIO","FEBBRAIO","MARZO","APRILE","MAGGIO","GIUGNO","LUGLIO","AGOSTO","SETTEMBRE","OTTOBRE","NOVEMBRE","DICEMBRE")&amp;" "&amp;YEAR($J164)</f>
        <v>AGOSTO 2027</v>
      </c>
      <c r="B164" s="21"/>
      <c r="C164" s="21"/>
      <c r="D164" s="21"/>
      <c r="E164" s="21"/>
      <c r="F164" s="21"/>
      <c r="G164" s="21"/>
      <c r="J164" s="25" t="n">
        <f aca="false">EDATE(J149,1)</f>
        <v>46600</v>
      </c>
    </row>
    <row r="165" customFormat="false" ht="15.75" hidden="false" customHeight="true" outlineLevel="0" collapsed="false">
      <c r="A165" s="22" t="s">
        <v>10</v>
      </c>
      <c r="B165" s="22" t="s">
        <v>11</v>
      </c>
      <c r="C165" s="22" t="s">
        <v>11</v>
      </c>
      <c r="D165" s="22" t="s">
        <v>6</v>
      </c>
      <c r="E165" s="22" t="s">
        <v>12</v>
      </c>
      <c r="F165" s="23" t="s">
        <v>13</v>
      </c>
      <c r="G165" s="23" t="s">
        <v>14</v>
      </c>
    </row>
    <row r="166" customFormat="false" ht="13.5" hidden="false" customHeight="true" outlineLevel="0" collapsed="false">
      <c r="A166" s="24" t="str">
        <f aca="false">IF(MONTH($J$164-WEEKDAY($J$164,2)+1)=MONTH($J$164),$J$164-WEEKDAY($J$164,2)+1,"")</f>
        <v/>
      </c>
      <c r="B166" s="24" t="str">
        <f aca="false">IF(MONTH($J$164-WEEKDAY($J$164,2)+2)=MONTH($J$164),$J$164-WEEKDAY($J$164,2)+2,"")</f>
        <v/>
      </c>
      <c r="C166" s="24" t="str">
        <f aca="false">IF(MONTH($J$164-WEEKDAY($J$164,2)+3)=MONTH($J$164),$J$164-WEEKDAY($J$164,2)+3,"")</f>
        <v/>
      </c>
      <c r="D166" s="24" t="str">
        <f aca="false">IF(MONTH($J$164-WEEKDAY($J$164,2)+4)=MONTH($J$164),$J$164-WEEKDAY($J$164,2)+4,"")</f>
        <v/>
      </c>
      <c r="E166" s="24" t="str">
        <f aca="false">IF(MONTH($J$164-WEEKDAY($J$164,2)+5)=MONTH($J$164),$J$164-WEEKDAY($J$164,2)+5,"")</f>
        <v/>
      </c>
      <c r="F166" s="24" t="str">
        <f aca="false">IF(MONTH($J$164-WEEKDAY($J$164,2)+6)=MONTH($J$164),$J$164-WEEKDAY($J$164,2)+6,"")</f>
        <v/>
      </c>
      <c r="G166" s="24" t="n">
        <f aca="false">IF(MONTH($J$164-WEEKDAY($J$164,2)+7)=MONTH($J$164),$J$164-WEEKDAY($J$164,2)+7,"")</f>
        <v>46600</v>
      </c>
      <c r="K166" s="0" t="str">
        <f aca="false">IF(A166="","",INDEX(Giorni!$M$2:$M$367,A166-Giorni!$A$2+1))</f>
        <v/>
      </c>
      <c r="L166" s="0" t="str">
        <f aca="false">IF(B166="","",INDEX(Giorni!$M$2:$M$367,B166-Giorni!$A$2+1))</f>
        <v/>
      </c>
      <c r="M166" s="0" t="str">
        <f aca="false">IF(C166="","",INDEX(Giorni!$M$2:$M$367,C166-Giorni!$A$2+1))</f>
        <v/>
      </c>
      <c r="N166" s="0" t="str">
        <f aca="false">IF(D166="","",INDEX(Giorni!$M$2:$M$367,D166-Giorni!$A$2+1))</f>
        <v/>
      </c>
      <c r="O166" s="0" t="str">
        <f aca="false">IF(E166="","",INDEX(Giorni!$M$2:$M$367,E166-Giorni!$A$2+1))</f>
        <v/>
      </c>
      <c r="P166" s="0" t="str">
        <f aca="false">IF(F166="","",INDEX(Giorni!$M$2:$M$367,F166-Giorni!$A$2+1))</f>
        <v/>
      </c>
      <c r="Q166" s="25" t="n">
        <f aca="false">IF(G166="","",INDEX(Giorni!$M$2:$M$367,G166-Giorni!$A$2+1))</f>
        <v>2</v>
      </c>
    </row>
    <row r="167" customFormat="false" ht="27" hidden="false" customHeight="true" outlineLevel="0" collapsed="false">
      <c r="A167" s="26"/>
      <c r="B167" s="26"/>
      <c r="C167" s="26"/>
      <c r="D167" s="26"/>
      <c r="E167" s="26"/>
      <c r="F167" s="26"/>
      <c r="G167" s="26"/>
    </row>
    <row r="168" customFormat="false" ht="13.5" hidden="false" customHeight="true" outlineLevel="0" collapsed="false">
      <c r="A168" s="24" t="n">
        <f aca="false">IF(MONTH($J$164-WEEKDAY($J$164,2)+8)=MONTH($J$164),$J$164-WEEKDAY($J$164,2)+8,"")</f>
        <v>46601</v>
      </c>
      <c r="B168" s="24" t="n">
        <f aca="false">IF(MONTH($J$164-WEEKDAY($J$164,2)+9)=MONTH($J$164),$J$164-WEEKDAY($J$164,2)+9,"")</f>
        <v>46602</v>
      </c>
      <c r="C168" s="24" t="n">
        <f aca="false">IF(MONTH($J$164-WEEKDAY($J$164,2)+10)=MONTH($J$164),$J$164-WEEKDAY($J$164,2)+10,"")</f>
        <v>46603</v>
      </c>
      <c r="D168" s="24" t="n">
        <f aca="false">IF(MONTH($J$164-WEEKDAY($J$164,2)+11)=MONTH($J$164),$J$164-WEEKDAY($J$164,2)+11,"")</f>
        <v>46604</v>
      </c>
      <c r="E168" s="24" t="n">
        <f aca="false">IF(MONTH($J$164-WEEKDAY($J$164,2)+12)=MONTH($J$164),$J$164-WEEKDAY($J$164,2)+12,"")</f>
        <v>46605</v>
      </c>
      <c r="F168" s="24" t="n">
        <f aca="false">IF(MONTH($J$164-WEEKDAY($J$164,2)+13)=MONTH($J$164),$J$164-WEEKDAY($J$164,2)+13,"")</f>
        <v>46606</v>
      </c>
      <c r="G168" s="24" t="n">
        <f aca="false">IF(MONTH($J$164-WEEKDAY($J$164,2)+14)=MONTH($J$164),$J$164-WEEKDAY($J$164,2)+14,"")</f>
        <v>46607</v>
      </c>
      <c r="K168" s="25" t="n">
        <f aca="false">IF(A168="","",INDEX(Giorni!$M$2:$M$367,A168-Giorni!$A$2+1))</f>
        <v>2</v>
      </c>
      <c r="L168" s="25" t="n">
        <f aca="false">IF(B168="","",INDEX(Giorni!$M$2:$M$367,B168-Giorni!$A$2+1))</f>
        <v>2</v>
      </c>
      <c r="M168" s="25" t="n">
        <f aca="false">IF(C168="","",INDEX(Giorni!$M$2:$M$367,C168-Giorni!$A$2+1))</f>
        <v>2</v>
      </c>
      <c r="N168" s="25" t="n">
        <f aca="false">IF(D168="","",INDEX(Giorni!$M$2:$M$367,D168-Giorni!$A$2+1))</f>
        <v>2</v>
      </c>
      <c r="O168" s="25" t="n">
        <f aca="false">IF(E168="","",INDEX(Giorni!$M$2:$M$367,E168-Giorni!$A$2+1))</f>
        <v>2</v>
      </c>
      <c r="P168" s="25" t="n">
        <f aca="false">IF(F168="","",INDEX(Giorni!$M$2:$M$367,F168-Giorni!$A$2+1))</f>
        <v>2</v>
      </c>
      <c r="Q168" s="25" t="n">
        <f aca="false">IF(G168="","",INDEX(Giorni!$M$2:$M$367,G168-Giorni!$A$2+1))</f>
        <v>2</v>
      </c>
    </row>
    <row r="169" customFormat="false" ht="27" hidden="false" customHeight="true" outlineLevel="0" collapsed="false">
      <c r="A169" s="26"/>
      <c r="B169" s="26"/>
      <c r="C169" s="26"/>
      <c r="D169" s="26"/>
      <c r="E169" s="26"/>
      <c r="F169" s="26"/>
      <c r="G169" s="26"/>
    </row>
    <row r="170" customFormat="false" ht="13.5" hidden="false" customHeight="true" outlineLevel="0" collapsed="false">
      <c r="A170" s="24" t="n">
        <f aca="false">IF(MONTH($J$164-WEEKDAY($J$164,2)+15)=MONTH($J$164),$J$164-WEEKDAY($J$164,2)+15,"")</f>
        <v>46608</v>
      </c>
      <c r="B170" s="24" t="n">
        <f aca="false">IF(MONTH($J$164-WEEKDAY($J$164,2)+16)=MONTH($J$164),$J$164-WEEKDAY($J$164,2)+16,"")</f>
        <v>46609</v>
      </c>
      <c r="C170" s="24" t="n">
        <f aca="false">IF(MONTH($J$164-WEEKDAY($J$164,2)+17)=MONTH($J$164),$J$164-WEEKDAY($J$164,2)+17,"")</f>
        <v>46610</v>
      </c>
      <c r="D170" s="24" t="n">
        <f aca="false">IF(MONTH($J$164-WEEKDAY($J$164,2)+18)=MONTH($J$164),$J$164-WEEKDAY($J$164,2)+18,"")</f>
        <v>46611</v>
      </c>
      <c r="E170" s="24" t="n">
        <f aca="false">IF(MONTH($J$164-WEEKDAY($J$164,2)+19)=MONTH($J$164),$J$164-WEEKDAY($J$164,2)+19,"")</f>
        <v>46612</v>
      </c>
      <c r="F170" s="24" t="n">
        <f aca="false">IF(MONTH($J$164-WEEKDAY($J$164,2)+20)=MONTH($J$164),$J$164-WEEKDAY($J$164,2)+20,"")</f>
        <v>46613</v>
      </c>
      <c r="G170" s="24" t="n">
        <f aca="false">IF(MONTH($J$164-WEEKDAY($J$164,2)+21)=MONTH($J$164),$J$164-WEEKDAY($J$164,2)+21,"")</f>
        <v>46614</v>
      </c>
      <c r="K170" s="25" t="n">
        <f aca="false">IF(A170="","",INDEX(Giorni!$M$2:$M$367,A170-Giorni!$A$2+1))</f>
        <v>2</v>
      </c>
      <c r="L170" s="25" t="n">
        <f aca="false">IF(B170="","",INDEX(Giorni!$M$2:$M$367,B170-Giorni!$A$2+1))</f>
        <v>2</v>
      </c>
      <c r="M170" s="25" t="n">
        <f aca="false">IF(C170="","",INDEX(Giorni!$M$2:$M$367,C170-Giorni!$A$2+1))</f>
        <v>2</v>
      </c>
      <c r="N170" s="25" t="n">
        <f aca="false">IF(D170="","",INDEX(Giorni!$M$2:$M$367,D170-Giorni!$A$2+1))</f>
        <v>2</v>
      </c>
      <c r="O170" s="25" t="n">
        <f aca="false">IF(E170="","",INDEX(Giorni!$M$2:$M$367,E170-Giorni!$A$2+1))</f>
        <v>2</v>
      </c>
      <c r="P170" s="25" t="n">
        <f aca="false">IF(F170="","",INDEX(Giorni!$M$2:$M$367,F170-Giorni!$A$2+1))</f>
        <v>2</v>
      </c>
      <c r="Q170" s="25" t="n">
        <f aca="false">IF(G170="","",INDEX(Giorni!$M$2:$M$367,G170-Giorni!$A$2+1))</f>
        <v>2</v>
      </c>
    </row>
    <row r="171" customFormat="false" ht="27" hidden="false" customHeight="true" outlineLevel="0" collapsed="false">
      <c r="A171" s="26"/>
      <c r="B171" s="26"/>
      <c r="C171" s="26"/>
      <c r="D171" s="26"/>
      <c r="E171" s="26"/>
      <c r="F171" s="26"/>
      <c r="G171" s="26"/>
    </row>
    <row r="172" customFormat="false" ht="13.5" hidden="false" customHeight="true" outlineLevel="0" collapsed="false">
      <c r="A172" s="24" t="n">
        <f aca="false">IF(MONTH($J$164-WEEKDAY($J$164,2)+22)=MONTH($J$164),$J$164-WEEKDAY($J$164,2)+22,"")</f>
        <v>46615</v>
      </c>
      <c r="B172" s="24" t="n">
        <f aca="false">IF(MONTH($J$164-WEEKDAY($J$164,2)+23)=MONTH($J$164),$J$164-WEEKDAY($J$164,2)+23,"")</f>
        <v>46616</v>
      </c>
      <c r="C172" s="24" t="n">
        <f aca="false">IF(MONTH($J$164-WEEKDAY($J$164,2)+24)=MONTH($J$164),$J$164-WEEKDAY($J$164,2)+24,"")</f>
        <v>46617</v>
      </c>
      <c r="D172" s="24" t="n">
        <f aca="false">IF(MONTH($J$164-WEEKDAY($J$164,2)+25)=MONTH($J$164),$J$164-WEEKDAY($J$164,2)+25,"")</f>
        <v>46618</v>
      </c>
      <c r="E172" s="24" t="n">
        <f aca="false">IF(MONTH($J$164-WEEKDAY($J$164,2)+26)=MONTH($J$164),$J$164-WEEKDAY($J$164,2)+26,"")</f>
        <v>46619</v>
      </c>
      <c r="F172" s="24" t="n">
        <f aca="false">IF(MONTH($J$164-WEEKDAY($J$164,2)+27)=MONTH($J$164),$J$164-WEEKDAY($J$164,2)+27,"")</f>
        <v>46620</v>
      </c>
      <c r="G172" s="24" t="n">
        <f aca="false">IF(MONTH($J$164-WEEKDAY($J$164,2)+28)=MONTH($J$164),$J$164-WEEKDAY($J$164,2)+28,"")</f>
        <v>46621</v>
      </c>
      <c r="K172" s="25" t="n">
        <f aca="false">IF(A172="","",INDEX(Giorni!$M$2:$M$367,A172-Giorni!$A$2+1))</f>
        <v>2</v>
      </c>
      <c r="L172" s="25" t="n">
        <f aca="false">IF(B172="","",INDEX(Giorni!$M$2:$M$367,B172-Giorni!$A$2+1))</f>
        <v>2</v>
      </c>
      <c r="M172" s="25" t="n">
        <f aca="false">IF(C172="","",INDEX(Giorni!$M$2:$M$367,C172-Giorni!$A$2+1))</f>
        <v>2</v>
      </c>
      <c r="N172" s="25" t="n">
        <f aca="false">IF(D172="","",INDEX(Giorni!$M$2:$M$367,D172-Giorni!$A$2+1))</f>
        <v>2</v>
      </c>
      <c r="O172" s="25" t="n">
        <f aca="false">IF(E172="","",INDEX(Giorni!$M$2:$M$367,E172-Giorni!$A$2+1))</f>
        <v>2</v>
      </c>
      <c r="P172" s="25" t="n">
        <f aca="false">IF(F172="","",INDEX(Giorni!$M$2:$M$367,F172-Giorni!$A$2+1))</f>
        <v>2</v>
      </c>
      <c r="Q172" s="25" t="n">
        <f aca="false">IF(G172="","",INDEX(Giorni!$M$2:$M$367,G172-Giorni!$A$2+1))</f>
        <v>2</v>
      </c>
    </row>
    <row r="173" customFormat="false" ht="27" hidden="false" customHeight="true" outlineLevel="0" collapsed="false">
      <c r="A173" s="26"/>
      <c r="B173" s="26"/>
      <c r="C173" s="26"/>
      <c r="D173" s="26"/>
      <c r="E173" s="26"/>
      <c r="F173" s="26"/>
      <c r="G173" s="26"/>
    </row>
    <row r="174" customFormat="false" ht="13.5" hidden="false" customHeight="true" outlineLevel="0" collapsed="false">
      <c r="A174" s="24" t="n">
        <f aca="false">IF(MONTH($J$164-WEEKDAY($J$164,2)+29)=MONTH($J$164),$J$164-WEEKDAY($J$164,2)+29,"")</f>
        <v>46622</v>
      </c>
      <c r="B174" s="24" t="n">
        <f aca="false">IF(MONTH($J$164-WEEKDAY($J$164,2)+30)=MONTH($J$164),$J$164-WEEKDAY($J$164,2)+30,"")</f>
        <v>46623</v>
      </c>
      <c r="C174" s="24" t="n">
        <f aca="false">IF(MONTH($J$164-WEEKDAY($J$164,2)+31)=MONTH($J$164),$J$164-WEEKDAY($J$164,2)+31,"")</f>
        <v>46624</v>
      </c>
      <c r="D174" s="24" t="n">
        <f aca="false">IF(MONTH($J$164-WEEKDAY($J$164,2)+32)=MONTH($J$164),$J$164-WEEKDAY($J$164,2)+32,"")</f>
        <v>46625</v>
      </c>
      <c r="E174" s="24" t="n">
        <f aca="false">IF(MONTH($J$164-WEEKDAY($J$164,2)+33)=MONTH($J$164),$J$164-WEEKDAY($J$164,2)+33,"")</f>
        <v>46626</v>
      </c>
      <c r="F174" s="24" t="n">
        <f aca="false">IF(MONTH($J$164-WEEKDAY($J$164,2)+34)=MONTH($J$164),$J$164-WEEKDAY($J$164,2)+34,"")</f>
        <v>46627</v>
      </c>
      <c r="G174" s="24" t="n">
        <f aca="false">IF(MONTH($J$164-WEEKDAY($J$164,2)+35)=MONTH($J$164),$J$164-WEEKDAY($J$164,2)+35,"")</f>
        <v>46628</v>
      </c>
      <c r="K174" s="25" t="n">
        <f aca="false">IF(A174="","",INDEX(Giorni!$M$2:$M$367,A174-Giorni!$A$2+1))</f>
        <v>2</v>
      </c>
      <c r="L174" s="25" t="n">
        <f aca="false">IF(B174="","",INDEX(Giorni!$M$2:$M$367,B174-Giorni!$A$2+1))</f>
        <v>2</v>
      </c>
      <c r="M174" s="25" t="n">
        <f aca="false">IF(C174="","",INDEX(Giorni!$M$2:$M$367,C174-Giorni!$A$2+1))</f>
        <v>2</v>
      </c>
      <c r="N174" s="25" t="n">
        <f aca="false">IF(D174="","",INDEX(Giorni!$M$2:$M$367,D174-Giorni!$A$2+1))</f>
        <v>2</v>
      </c>
      <c r="O174" s="25" t="n">
        <f aca="false">IF(E174="","",INDEX(Giorni!$M$2:$M$367,E174-Giorni!$A$2+1))</f>
        <v>2</v>
      </c>
      <c r="P174" s="25" t="n">
        <f aca="false">IF(F174="","",INDEX(Giorni!$M$2:$M$367,F174-Giorni!$A$2+1))</f>
        <v>2</v>
      </c>
      <c r="Q174" s="25" t="n">
        <f aca="false">IF(G174="","",INDEX(Giorni!$M$2:$M$367,G174-Giorni!$A$2+1))</f>
        <v>2</v>
      </c>
    </row>
    <row r="175" customFormat="false" ht="27" hidden="false" customHeight="true" outlineLevel="0" collapsed="false">
      <c r="A175" s="26"/>
      <c r="B175" s="26"/>
      <c r="C175" s="26"/>
      <c r="D175" s="26"/>
      <c r="E175" s="26"/>
      <c r="F175" s="26"/>
      <c r="G175" s="26"/>
    </row>
    <row r="176" customFormat="false" ht="13.5" hidden="false" customHeight="true" outlineLevel="0" collapsed="false">
      <c r="A176" s="24" t="n">
        <f aca="false">IF(MONTH($J$164-WEEKDAY($J$164,2)+36)=MONTH($J$164),$J$164-WEEKDAY($J$164,2)+36,"")</f>
        <v>46629</v>
      </c>
      <c r="B176" s="24" t="n">
        <f aca="false">IF(MONTH($J$164-WEEKDAY($J$164,2)+37)=MONTH($J$164),$J$164-WEEKDAY($J$164,2)+37,"")</f>
        <v>46630</v>
      </c>
      <c r="C176" s="24" t="str">
        <f aca="false">IF(MONTH($J$164-WEEKDAY($J$164,2)+38)=MONTH($J$164),$J$164-WEEKDAY($J$164,2)+38,"")</f>
        <v/>
      </c>
      <c r="D176" s="24" t="str">
        <f aca="false">IF(MONTH($J$164-WEEKDAY($J$164,2)+39)=MONTH($J$164),$J$164-WEEKDAY($J$164,2)+39,"")</f>
        <v/>
      </c>
      <c r="E176" s="24" t="str">
        <f aca="false">IF(MONTH($J$164-WEEKDAY($J$164,2)+40)=MONTH($J$164),$J$164-WEEKDAY($J$164,2)+40,"")</f>
        <v/>
      </c>
      <c r="F176" s="24" t="str">
        <f aca="false">IF(MONTH($J$164-WEEKDAY($J$164,2)+41)=MONTH($J$164),$J$164-WEEKDAY($J$164,2)+41,"")</f>
        <v/>
      </c>
      <c r="G176" s="24" t="str">
        <f aca="false">IF(MONTH($J$164-WEEKDAY($J$164,2)+42)=MONTH($J$164),$J$164-WEEKDAY($J$164,2)+42,"")</f>
        <v/>
      </c>
      <c r="K176" s="25" t="n">
        <f aca="false">IF(A176="","",INDEX(Giorni!$M$2:$M$367,A176-Giorni!$A$2+1))</f>
        <v>2</v>
      </c>
      <c r="L176" s="25" t="n">
        <f aca="false">IF(B176="","",INDEX(Giorni!$M$2:$M$367,B176-Giorni!$A$2+1))</f>
        <v>2</v>
      </c>
      <c r="M176" s="0" t="str">
        <f aca="false">IF(C176="","",INDEX(Giorni!$M$2:$M$367,C176-Giorni!$A$2+1))</f>
        <v/>
      </c>
      <c r="N176" s="0" t="str">
        <f aca="false">IF(D176="","",INDEX(Giorni!$M$2:$M$367,D176-Giorni!$A$2+1))</f>
        <v/>
      </c>
      <c r="O176" s="0" t="str">
        <f aca="false">IF(E176="","",INDEX(Giorni!$M$2:$M$367,E176-Giorni!$A$2+1))</f>
        <v/>
      </c>
      <c r="P176" s="0" t="str">
        <f aca="false">IF(F176="","",INDEX(Giorni!$M$2:$M$367,F176-Giorni!$A$2+1))</f>
        <v/>
      </c>
      <c r="Q176" s="0" t="str">
        <f aca="false">IF(G176="","",INDEX(Giorni!$M$2:$M$367,G176-Giorni!$A$2+1))</f>
        <v/>
      </c>
    </row>
    <row r="177" customFormat="false" ht="27" hidden="false" customHeight="true" outlineLevel="0" collapsed="false">
      <c r="A177" s="26"/>
      <c r="B177" s="26"/>
      <c r="C177" s="26"/>
      <c r="D177" s="26"/>
      <c r="E177" s="26"/>
      <c r="F177" s="26"/>
      <c r="G177" s="26"/>
    </row>
    <row r="178" customFormat="false" ht="9.75" hidden="false" customHeight="true" outlineLevel="0" collapsed="false"/>
    <row r="179" customFormat="false" ht="24" hidden="false" customHeight="true" outlineLevel="0" collapsed="false">
      <c r="A179" s="21" t="str">
        <f aca="false">CHOOSE(MONTH($J179),"GENNAIO","FEBBRAIO","MARZO","APRILE","MAGGIO","GIUGNO","LUGLIO","AGOSTO","SETTEMBRE","OTTOBRE","NOVEMBRE","DICEMBRE")&amp;" "&amp;YEAR($J179)</f>
        <v>SETTEMBRE 2027</v>
      </c>
      <c r="B179" s="21"/>
      <c r="C179" s="21"/>
      <c r="D179" s="21"/>
      <c r="E179" s="21"/>
      <c r="F179" s="21"/>
      <c r="G179" s="21"/>
      <c r="J179" s="25" t="n">
        <f aca="false">EDATE(J164,1)</f>
        <v>46631</v>
      </c>
    </row>
    <row r="180" customFormat="false" ht="15.75" hidden="false" customHeight="true" outlineLevel="0" collapsed="false">
      <c r="A180" s="22" t="s">
        <v>10</v>
      </c>
      <c r="B180" s="22" t="s">
        <v>11</v>
      </c>
      <c r="C180" s="22" t="s">
        <v>11</v>
      </c>
      <c r="D180" s="22" t="s">
        <v>6</v>
      </c>
      <c r="E180" s="22" t="s">
        <v>12</v>
      </c>
      <c r="F180" s="23" t="s">
        <v>13</v>
      </c>
      <c r="G180" s="23" t="s">
        <v>14</v>
      </c>
    </row>
    <row r="181" customFormat="false" ht="13.5" hidden="false" customHeight="true" outlineLevel="0" collapsed="false">
      <c r="A181" s="24" t="str">
        <f aca="false">IF(MONTH($J$179-WEEKDAY($J$179,2)+1)=MONTH($J$179),$J$179-WEEKDAY($J$179,2)+1,"")</f>
        <v/>
      </c>
      <c r="B181" s="24" t="str">
        <f aca="false">IF(MONTH($J$179-WEEKDAY($J$179,2)+2)=MONTH($J$179),$J$179-WEEKDAY($J$179,2)+2,"")</f>
        <v/>
      </c>
      <c r="C181" s="24" t="n">
        <f aca="false">IF(MONTH($J$179-WEEKDAY($J$179,2)+3)=MONTH($J$179),$J$179-WEEKDAY($J$179,2)+3,"")</f>
        <v>46631</v>
      </c>
      <c r="D181" s="24" t="n">
        <f aca="false">IF(MONTH($J$179-WEEKDAY($J$179,2)+4)=MONTH($J$179),$J$179-WEEKDAY($J$179,2)+4,"")</f>
        <v>46632</v>
      </c>
      <c r="E181" s="24" t="n">
        <f aca="false">IF(MONTH($J$179-WEEKDAY($J$179,2)+5)=MONTH($J$179),$J$179-WEEKDAY($J$179,2)+5,"")</f>
        <v>46633</v>
      </c>
      <c r="F181" s="24" t="n">
        <f aca="false">IF(MONTH($J$179-WEEKDAY($J$179,2)+6)=MONTH($J$179),$J$179-WEEKDAY($J$179,2)+6,"")</f>
        <v>46634</v>
      </c>
      <c r="G181" s="24" t="n">
        <f aca="false">IF(MONTH($J$179-WEEKDAY($J$179,2)+7)=MONTH($J$179),$J$179-WEEKDAY($J$179,2)+7,"")</f>
        <v>46635</v>
      </c>
      <c r="K181" s="0" t="str">
        <f aca="false">IF(A181="","",INDEX(Giorni!$M$2:$M$367,A181-Giorni!$A$2+1))</f>
        <v/>
      </c>
      <c r="L181" s="0" t="str">
        <f aca="false">IF(B181="","",INDEX(Giorni!$M$2:$M$367,B181-Giorni!$A$2+1))</f>
        <v/>
      </c>
      <c r="M181" s="25" t="n">
        <f aca="false">IF(C181="","",INDEX(Giorni!$M$2:$M$367,C181-Giorni!$A$2+1))</f>
        <v>0</v>
      </c>
      <c r="N181" s="25" t="n">
        <f aca="false">IF(D181="","",INDEX(Giorni!$M$2:$M$367,D181-Giorni!$A$2+1))</f>
        <v>0</v>
      </c>
      <c r="O181" s="25" t="n">
        <f aca="false">IF(E181="","",INDEX(Giorni!$M$2:$M$367,E181-Giorni!$A$2+1))</f>
        <v>0</v>
      </c>
      <c r="P181" s="25" t="n">
        <f aca="false">IF(F181="","",INDEX(Giorni!$M$2:$M$367,F181-Giorni!$A$2+1))</f>
        <v>1</v>
      </c>
      <c r="Q181" s="25" t="n">
        <f aca="false">IF(G181="","",INDEX(Giorni!$M$2:$M$367,G181-Giorni!$A$2+1))</f>
        <v>1</v>
      </c>
    </row>
    <row r="182" customFormat="false" ht="27" hidden="false" customHeight="true" outlineLevel="0" collapsed="false">
      <c r="A182" s="26"/>
      <c r="B182" s="26"/>
      <c r="C182" s="26"/>
      <c r="D182" s="26"/>
      <c r="E182" s="26"/>
      <c r="F182" s="26"/>
      <c r="G182" s="26"/>
    </row>
    <row r="183" customFormat="false" ht="13.5" hidden="false" customHeight="true" outlineLevel="0" collapsed="false">
      <c r="A183" s="24" t="n">
        <f aca="false">IF(MONTH($J$179-WEEKDAY($J$179,2)+8)=MONTH($J$179),$J$179-WEEKDAY($J$179,2)+8,"")</f>
        <v>46636</v>
      </c>
      <c r="B183" s="24" t="n">
        <f aca="false">IF(MONTH($J$179-WEEKDAY($J$179,2)+9)=MONTH($J$179),$J$179-WEEKDAY($J$179,2)+9,"")</f>
        <v>46637</v>
      </c>
      <c r="C183" s="24" t="n">
        <f aca="false">IF(MONTH($J$179-WEEKDAY($J$179,2)+10)=MONTH($J$179),$J$179-WEEKDAY($J$179,2)+10,"")</f>
        <v>46638</v>
      </c>
      <c r="D183" s="24" t="n">
        <f aca="false">IF(MONTH($J$179-WEEKDAY($J$179,2)+11)=MONTH($J$179),$J$179-WEEKDAY($J$179,2)+11,"")</f>
        <v>46639</v>
      </c>
      <c r="E183" s="24" t="n">
        <f aca="false">IF(MONTH($J$179-WEEKDAY($J$179,2)+12)=MONTH($J$179),$J$179-WEEKDAY($J$179,2)+12,"")</f>
        <v>46640</v>
      </c>
      <c r="F183" s="24" t="n">
        <f aca="false">IF(MONTH($J$179-WEEKDAY($J$179,2)+13)=MONTH($J$179),$J$179-WEEKDAY($J$179,2)+13,"")</f>
        <v>46641</v>
      </c>
      <c r="G183" s="24" t="n">
        <f aca="false">IF(MONTH($J$179-WEEKDAY($J$179,2)+14)=MONTH($J$179),$J$179-WEEKDAY($J$179,2)+14,"")</f>
        <v>46642</v>
      </c>
      <c r="K183" s="25" t="n">
        <f aca="false">IF(A183="","",INDEX(Giorni!$M$2:$M$367,A183-Giorni!$A$2+1))</f>
        <v>0</v>
      </c>
      <c r="L183" s="25" t="n">
        <f aca="false">IF(B183="","",INDEX(Giorni!$M$2:$M$367,B183-Giorni!$A$2+1))</f>
        <v>0</v>
      </c>
      <c r="M183" s="25" t="n">
        <f aca="false">IF(C183="","",INDEX(Giorni!$M$2:$M$367,C183-Giorni!$A$2+1))</f>
        <v>0</v>
      </c>
      <c r="N183" s="25" t="n">
        <f aca="false">IF(D183="","",INDEX(Giorni!$M$2:$M$367,D183-Giorni!$A$2+1))</f>
        <v>0</v>
      </c>
      <c r="O183" s="25" t="n">
        <f aca="false">IF(E183="","",INDEX(Giorni!$M$2:$M$367,E183-Giorni!$A$2+1))</f>
        <v>0</v>
      </c>
      <c r="P183" s="25" t="n">
        <f aca="false">IF(F183="","",INDEX(Giorni!$M$2:$M$367,F183-Giorni!$A$2+1))</f>
        <v>1</v>
      </c>
      <c r="Q183" s="25" t="n">
        <f aca="false">IF(G183="","",INDEX(Giorni!$M$2:$M$367,G183-Giorni!$A$2+1))</f>
        <v>1</v>
      </c>
    </row>
    <row r="184" customFormat="false" ht="27" hidden="false" customHeight="true" outlineLevel="0" collapsed="false">
      <c r="A184" s="26"/>
      <c r="B184" s="26"/>
      <c r="C184" s="26"/>
      <c r="D184" s="26"/>
      <c r="E184" s="26"/>
      <c r="F184" s="26"/>
      <c r="G184" s="26"/>
    </row>
    <row r="185" customFormat="false" ht="13.5" hidden="false" customHeight="true" outlineLevel="0" collapsed="false">
      <c r="A185" s="24" t="n">
        <f aca="false">IF(MONTH($J$179-WEEKDAY($J$179,2)+15)=MONTH($J$179),$J$179-WEEKDAY($J$179,2)+15,"")</f>
        <v>46643</v>
      </c>
      <c r="B185" s="24" t="n">
        <f aca="false">IF(MONTH($J$179-WEEKDAY($J$179,2)+16)=MONTH($J$179),$J$179-WEEKDAY($J$179,2)+16,"")</f>
        <v>46644</v>
      </c>
      <c r="C185" s="24" t="n">
        <f aca="false">IF(MONTH($J$179-WEEKDAY($J$179,2)+17)=MONTH($J$179),$J$179-WEEKDAY($J$179,2)+17,"")</f>
        <v>46645</v>
      </c>
      <c r="D185" s="24" t="n">
        <f aca="false">IF(MONTH($J$179-WEEKDAY($J$179,2)+18)=MONTH($J$179),$J$179-WEEKDAY($J$179,2)+18,"")</f>
        <v>46646</v>
      </c>
      <c r="E185" s="24" t="n">
        <f aca="false">IF(MONTH($J$179-WEEKDAY($J$179,2)+19)=MONTH($J$179),$J$179-WEEKDAY($J$179,2)+19,"")</f>
        <v>46647</v>
      </c>
      <c r="F185" s="24" t="n">
        <f aca="false">IF(MONTH($J$179-WEEKDAY($J$179,2)+20)=MONTH($J$179),$J$179-WEEKDAY($J$179,2)+20,"")</f>
        <v>46648</v>
      </c>
      <c r="G185" s="24" t="n">
        <f aca="false">IF(MONTH($J$179-WEEKDAY($J$179,2)+21)=MONTH($J$179),$J$179-WEEKDAY($J$179,2)+21,"")</f>
        <v>46649</v>
      </c>
      <c r="K185" s="25" t="n">
        <f aca="false">IF(A185="","",INDEX(Giorni!$M$2:$M$367,A185-Giorni!$A$2+1))</f>
        <v>0</v>
      </c>
      <c r="L185" s="25" t="n">
        <f aca="false">IF(B185="","",INDEX(Giorni!$M$2:$M$367,B185-Giorni!$A$2+1))</f>
        <v>0</v>
      </c>
      <c r="M185" s="25" t="n">
        <f aca="false">IF(C185="","",INDEX(Giorni!$M$2:$M$367,C185-Giorni!$A$2+1))</f>
        <v>0</v>
      </c>
      <c r="N185" s="25" t="n">
        <f aca="false">IF(D185="","",INDEX(Giorni!$M$2:$M$367,D185-Giorni!$A$2+1))</f>
        <v>0</v>
      </c>
      <c r="O185" s="25" t="n">
        <f aca="false">IF(E185="","",INDEX(Giorni!$M$2:$M$367,E185-Giorni!$A$2+1))</f>
        <v>0</v>
      </c>
      <c r="P185" s="25" t="n">
        <f aca="false">IF(F185="","",INDEX(Giorni!$M$2:$M$367,F185-Giorni!$A$2+1))</f>
        <v>1</v>
      </c>
      <c r="Q185" s="25" t="n">
        <f aca="false">IF(G185="","",INDEX(Giorni!$M$2:$M$367,G185-Giorni!$A$2+1))</f>
        <v>1</v>
      </c>
    </row>
    <row r="186" customFormat="false" ht="27" hidden="false" customHeight="true" outlineLevel="0" collapsed="false">
      <c r="A186" s="26"/>
      <c r="B186" s="26"/>
      <c r="C186" s="26"/>
      <c r="D186" s="26"/>
      <c r="E186" s="26"/>
      <c r="F186" s="26"/>
      <c r="G186" s="26"/>
    </row>
    <row r="187" customFormat="false" ht="13.5" hidden="false" customHeight="true" outlineLevel="0" collapsed="false">
      <c r="A187" s="24" t="n">
        <f aca="false">IF(MONTH($J$179-WEEKDAY($J$179,2)+22)=MONTH($J$179),$J$179-WEEKDAY($J$179,2)+22,"")</f>
        <v>46650</v>
      </c>
      <c r="B187" s="24" t="n">
        <f aca="false">IF(MONTH($J$179-WEEKDAY($J$179,2)+23)=MONTH($J$179),$J$179-WEEKDAY($J$179,2)+23,"")</f>
        <v>46651</v>
      </c>
      <c r="C187" s="24" t="n">
        <f aca="false">IF(MONTH($J$179-WEEKDAY($J$179,2)+24)=MONTH($J$179),$J$179-WEEKDAY($J$179,2)+24,"")</f>
        <v>46652</v>
      </c>
      <c r="D187" s="24" t="n">
        <f aca="false">IF(MONTH($J$179-WEEKDAY($J$179,2)+25)=MONTH($J$179),$J$179-WEEKDAY($J$179,2)+25,"")</f>
        <v>46653</v>
      </c>
      <c r="E187" s="24" t="n">
        <f aca="false">IF(MONTH($J$179-WEEKDAY($J$179,2)+26)=MONTH($J$179),$J$179-WEEKDAY($J$179,2)+26,"")</f>
        <v>46654</v>
      </c>
      <c r="F187" s="24" t="n">
        <f aca="false">IF(MONTH($J$179-WEEKDAY($J$179,2)+27)=MONTH($J$179),$J$179-WEEKDAY($J$179,2)+27,"")</f>
        <v>46655</v>
      </c>
      <c r="G187" s="24" t="n">
        <f aca="false">IF(MONTH($J$179-WEEKDAY($J$179,2)+28)=MONTH($J$179),$J$179-WEEKDAY($J$179,2)+28,"")</f>
        <v>46656</v>
      </c>
      <c r="K187" s="25" t="n">
        <f aca="false">IF(A187="","",INDEX(Giorni!$M$2:$M$367,A187-Giorni!$A$2+1))</f>
        <v>0</v>
      </c>
      <c r="L187" s="25" t="n">
        <f aca="false">IF(B187="","",INDEX(Giorni!$M$2:$M$367,B187-Giorni!$A$2+1))</f>
        <v>0</v>
      </c>
      <c r="M187" s="25" t="n">
        <f aca="false">IF(C187="","",INDEX(Giorni!$M$2:$M$367,C187-Giorni!$A$2+1))</f>
        <v>0</v>
      </c>
      <c r="N187" s="25" t="n">
        <f aca="false">IF(D187="","",INDEX(Giorni!$M$2:$M$367,D187-Giorni!$A$2+1))</f>
        <v>0</v>
      </c>
      <c r="O187" s="25" t="n">
        <f aca="false">IF(E187="","",INDEX(Giorni!$M$2:$M$367,E187-Giorni!$A$2+1))</f>
        <v>0</v>
      </c>
      <c r="P187" s="25" t="n">
        <f aca="false">IF(F187="","",INDEX(Giorni!$M$2:$M$367,F187-Giorni!$A$2+1))</f>
        <v>1</v>
      </c>
      <c r="Q187" s="25" t="n">
        <f aca="false">IF(G187="","",INDEX(Giorni!$M$2:$M$367,G187-Giorni!$A$2+1))</f>
        <v>1</v>
      </c>
    </row>
    <row r="188" customFormat="false" ht="27" hidden="false" customHeight="true" outlineLevel="0" collapsed="false">
      <c r="A188" s="26"/>
      <c r="B188" s="26"/>
      <c r="C188" s="26"/>
      <c r="D188" s="26"/>
      <c r="E188" s="26"/>
      <c r="F188" s="26"/>
      <c r="G188" s="26"/>
    </row>
    <row r="189" customFormat="false" ht="13.5" hidden="false" customHeight="true" outlineLevel="0" collapsed="false">
      <c r="A189" s="24" t="n">
        <f aca="false">IF(MONTH($J$179-WEEKDAY($J$179,2)+29)=MONTH($J$179),$J$179-WEEKDAY($J$179,2)+29,"")</f>
        <v>46657</v>
      </c>
      <c r="B189" s="24" t="n">
        <f aca="false">IF(MONTH($J$179-WEEKDAY($J$179,2)+30)=MONTH($J$179),$J$179-WEEKDAY($J$179,2)+30,"")</f>
        <v>46658</v>
      </c>
      <c r="C189" s="24" t="n">
        <f aca="false">IF(MONTH($J$179-WEEKDAY($J$179,2)+31)=MONTH($J$179),$J$179-WEEKDAY($J$179,2)+31,"")</f>
        <v>46659</v>
      </c>
      <c r="D189" s="24" t="n">
        <f aca="false">IF(MONTH($J$179-WEEKDAY($J$179,2)+32)=MONTH($J$179),$J$179-WEEKDAY($J$179,2)+32,"")</f>
        <v>46660</v>
      </c>
      <c r="E189" s="24" t="str">
        <f aca="false">IF(MONTH($J$179-WEEKDAY($J$179,2)+33)=MONTH($J$179),$J$179-WEEKDAY($J$179,2)+33,"")</f>
        <v/>
      </c>
      <c r="F189" s="24" t="str">
        <f aca="false">IF(MONTH($J$179-WEEKDAY($J$179,2)+34)=MONTH($J$179),$J$179-WEEKDAY($J$179,2)+34,"")</f>
        <v/>
      </c>
      <c r="G189" s="24" t="str">
        <f aca="false">IF(MONTH($J$179-WEEKDAY($J$179,2)+35)=MONTH($J$179),$J$179-WEEKDAY($J$179,2)+35,"")</f>
        <v/>
      </c>
      <c r="K189" s="25" t="n">
        <f aca="false">IF(A189="","",INDEX(Giorni!$M$2:$M$367,A189-Giorni!$A$2+1))</f>
        <v>0</v>
      </c>
      <c r="L189" s="25" t="n">
        <f aca="false">IF(B189="","",INDEX(Giorni!$M$2:$M$367,B189-Giorni!$A$2+1))</f>
        <v>0</v>
      </c>
      <c r="M189" s="25" t="n">
        <f aca="false">IF(C189="","",INDEX(Giorni!$M$2:$M$367,C189-Giorni!$A$2+1))</f>
        <v>0</v>
      </c>
      <c r="N189" s="25" t="n">
        <f aca="false">IF(D189="","",INDEX(Giorni!$M$2:$M$367,D189-Giorni!$A$2+1))</f>
        <v>0</v>
      </c>
      <c r="O189" s="0" t="str">
        <f aca="false">IF(E189="","",INDEX(Giorni!$M$2:$M$367,E189-Giorni!$A$2+1))</f>
        <v/>
      </c>
      <c r="P189" s="0" t="str">
        <f aca="false">IF(F189="","",INDEX(Giorni!$M$2:$M$367,F189-Giorni!$A$2+1))</f>
        <v/>
      </c>
      <c r="Q189" s="0" t="str">
        <f aca="false">IF(G189="","",INDEX(Giorni!$M$2:$M$367,G189-Giorni!$A$2+1))</f>
        <v/>
      </c>
    </row>
    <row r="190" customFormat="false" ht="27" hidden="false" customHeight="true" outlineLevel="0" collapsed="false">
      <c r="A190" s="26"/>
      <c r="B190" s="26"/>
      <c r="C190" s="26"/>
      <c r="D190" s="26"/>
      <c r="E190" s="26"/>
      <c r="F190" s="26"/>
      <c r="G190" s="26"/>
    </row>
    <row r="191" customFormat="false" ht="13.5" hidden="false" customHeight="true" outlineLevel="0" collapsed="false">
      <c r="A191" s="24" t="str">
        <f aca="false">IF(MONTH($J$179-WEEKDAY($J$179,2)+36)=MONTH($J$179),$J$179-WEEKDAY($J$179,2)+36,"")</f>
        <v/>
      </c>
      <c r="B191" s="24" t="str">
        <f aca="false">IF(MONTH($J$179-WEEKDAY($J$179,2)+37)=MONTH($J$179),$J$179-WEEKDAY($J$179,2)+37,"")</f>
        <v/>
      </c>
      <c r="C191" s="24" t="str">
        <f aca="false">IF(MONTH($J$179-WEEKDAY($J$179,2)+38)=MONTH($J$179),$J$179-WEEKDAY($J$179,2)+38,"")</f>
        <v/>
      </c>
      <c r="D191" s="24" t="str">
        <f aca="false">IF(MONTH($J$179-WEEKDAY($J$179,2)+39)=MONTH($J$179),$J$179-WEEKDAY($J$179,2)+39,"")</f>
        <v/>
      </c>
      <c r="E191" s="24" t="str">
        <f aca="false">IF(MONTH($J$179-WEEKDAY($J$179,2)+40)=MONTH($J$179),$J$179-WEEKDAY($J$179,2)+40,"")</f>
        <v/>
      </c>
      <c r="F191" s="24" t="str">
        <f aca="false">IF(MONTH($J$179-WEEKDAY($J$179,2)+41)=MONTH($J$179),$J$179-WEEKDAY($J$179,2)+41,"")</f>
        <v/>
      </c>
      <c r="G191" s="24" t="str">
        <f aca="false">IF(MONTH($J$179-WEEKDAY($J$179,2)+42)=MONTH($J$179),$J$179-WEEKDAY($J$179,2)+42,"")</f>
        <v/>
      </c>
      <c r="K191" s="0" t="str">
        <f aca="false">IF(A191="","",INDEX(Giorni!$M$2:$M$367,A191-Giorni!$A$2+1))</f>
        <v/>
      </c>
      <c r="L191" s="0" t="str">
        <f aca="false">IF(B191="","",INDEX(Giorni!$M$2:$M$367,B191-Giorni!$A$2+1))</f>
        <v/>
      </c>
      <c r="M191" s="0" t="str">
        <f aca="false">IF(C191="","",INDEX(Giorni!$M$2:$M$367,C191-Giorni!$A$2+1))</f>
        <v/>
      </c>
      <c r="N191" s="0" t="str">
        <f aca="false">IF(D191="","",INDEX(Giorni!$M$2:$M$367,D191-Giorni!$A$2+1))</f>
        <v/>
      </c>
      <c r="O191" s="0" t="str">
        <f aca="false">IF(E191="","",INDEX(Giorni!$M$2:$M$367,E191-Giorni!$A$2+1))</f>
        <v/>
      </c>
      <c r="P191" s="0" t="str">
        <f aca="false">IF(F191="","",INDEX(Giorni!$M$2:$M$367,F191-Giorni!$A$2+1))</f>
        <v/>
      </c>
      <c r="Q191" s="0" t="str">
        <f aca="false">IF(G191="","",INDEX(Giorni!$M$2:$M$367,G191-Giorni!$A$2+1))</f>
        <v/>
      </c>
    </row>
    <row r="192" customFormat="false" ht="27" hidden="false" customHeight="true" outlineLevel="0" collapsed="false">
      <c r="A192" s="26"/>
      <c r="B192" s="26"/>
      <c r="C192" s="26"/>
      <c r="D192" s="26"/>
      <c r="E192" s="26"/>
      <c r="F192" s="26"/>
      <c r="G192" s="26"/>
    </row>
    <row r="193" customFormat="false" ht="9.75" hidden="false" customHeight="true" outlineLevel="0" collapsed="false"/>
  </sheetData>
  <sheetProtection sheet="true" formatColumns="false" formatRows="false"/>
  <mergeCells count="26">
    <mergeCell ref="A1:G1"/>
    <mergeCell ref="A2:G2"/>
    <mergeCell ref="A3:B3"/>
    <mergeCell ref="C3:E3"/>
    <mergeCell ref="F3:G3"/>
    <mergeCell ref="A4:B4"/>
    <mergeCell ref="C4:E4"/>
    <mergeCell ref="F4:G4"/>
    <mergeCell ref="A5:G5"/>
    <mergeCell ref="A6:G6"/>
    <mergeCell ref="A7:G7"/>
    <mergeCell ref="D8:G8"/>
    <mergeCell ref="A9:G9"/>
    <mergeCell ref="A10:G10"/>
    <mergeCell ref="A14:G14"/>
    <mergeCell ref="A29:G29"/>
    <mergeCell ref="A44:G44"/>
    <mergeCell ref="A59:G59"/>
    <mergeCell ref="A74:G74"/>
    <mergeCell ref="A89:G89"/>
    <mergeCell ref="A104:G104"/>
    <mergeCell ref="A119:G119"/>
    <mergeCell ref="A134:G134"/>
    <mergeCell ref="A149:G149"/>
    <mergeCell ref="A164:G164"/>
    <mergeCell ref="A179:G179"/>
  </mergeCells>
  <conditionalFormatting sqref="A16:G16 A18:G18 A20:G20 A22:G22 A24:G24 A26:G26 A31:G31 A33:G33 A35:G35 A37:G37 A39:G39 A41:G41 A46:G46 A48:G48 A50:G50 A52:G52 A54:G54 A56:G56 A61:G61 A63:G63 A65:G65 A67:G67 A69:G69 A71:G71 A76:G76 A78:G78 A80:G80 A82:G82 A84:G84 A86:G86 A91:G91 A93:G93 A95:G95 A97:G97 A99:G99 A101:G101 A106:G106 A108:G108 A110:G110 A112:G112 A114:G114 A116:G116 A121:G121 A123:G123 A125:G125 A127:G127 A129:G129 A131:G131 A136:G136 A138:G138 A140:G140 A142:G142 A144:G144 A146:G146 A151:G151 A153:G153 A155:G155 A157:G157 A159:G159 A161:G161 A166:G166 A168:G168 A170:G170 A172:G172 A174:G174 A176:G176 A181:G181 A183:G183 A185:G185 A187:G187 A189:G189 A191:G191">
    <cfRule type="expression" priority="2" aboveAverage="0" equalAverage="0" bottom="0" percent="0" rank="0" text="" dxfId="0">
      <formula>A16=$J$2</formula>
    </cfRule>
    <cfRule type="expression" priority="3" aboveAverage="0" equalAverage="0" bottom="0" percent="0" rank="0" text="" dxfId="1">
      <formula>K16=3</formula>
    </cfRule>
    <cfRule type="expression" priority="4" aboveAverage="0" equalAverage="0" bottom="0" percent="0" rank="0" text="" dxfId="2">
      <formula>K16=2</formula>
    </cfRule>
    <cfRule type="expression" priority="5" aboveAverage="0" equalAverage="0" bottom="0" percent="0" rank="0" text="" dxfId="3">
      <formula>K16=1</formula>
    </cfRule>
    <cfRule type="expression" priority="6" aboveAverage="0" equalAverage="0" bottom="0" percent="0" rank="0" text="" dxfId="4">
      <formula>A16&lt;&gt;""</formula>
    </cfRule>
  </conditionalFormatting>
  <conditionalFormatting sqref="A17:G17 A19:G19 A21:G21 A23:G23 A25:G25 A27:G27 A32:G32 A34:G34 A36:G36 A38:G38 A40:G40 A42:G42 A47:G47 A49:G49 A51:G51 A53:G53 A55:G55 A57:G57 A62:G62 A64:G64 A66:G66 A68:G68 A70:G70 A72:G72 A77:G77 A79:G79 A81:G81 A83:G83 A85:G85 A87:G87 A92:G92 A94:G94 A96:G96 A98:G98 A100:G100 A102:G102 A107:G107 A109:G109 A111:G111 A113:G113 A115:G115 A117:G117 A122:G122 A124:G124 A126:G126 A128:G128 A130:G130 A132:G132 A137:G137 A139:G139 A141:G141 A143:G143 A145:G145 A147:G147 A152:G152 A154:G154 A156:G156 A158:G158 A160:G160 A162:G162 A167:G167 A169:G169 A171:G171 A173:G173 A175:G175 A177:G177 A182:G182 A184:G184 A186:G186 A188:G188 A190:G190 A192:G192">
    <cfRule type="expression" priority="7" aboveAverage="0" equalAverage="0" bottom="0" percent="0" rank="0" text="" dxfId="5">
      <formula>AND(A16&lt;&gt;"",K16=2)</formula>
    </cfRule>
    <cfRule type="expression" priority="8" aboveAverage="0" equalAverage="0" bottom="0" percent="0" rank="0" text="" dxfId="6">
      <formula>AND(A16&lt;&gt;"",K16=3)</formula>
    </cfRule>
    <cfRule type="expression" priority="9" aboveAverage="0" equalAverage="0" bottom="0" percent="0" rank="0" text="" dxfId="7">
      <formula>AND(A16&lt;&gt;"",A17="A")</formula>
    </cfRule>
    <cfRule type="expression" priority="10" aboveAverage="0" equalAverage="0" bottom="0" percent="0" rank="0" text="" dxfId="8">
      <formula>AND(A16&lt;&gt;"",A17="G")</formula>
    </cfRule>
    <cfRule type="expression" priority="11" aboveAverage="0" equalAverage="0" bottom="0" percent="0" rank="0" text="" dxfId="9">
      <formula>AND(A16&lt;&gt;"",A17="P")</formula>
    </cfRule>
    <cfRule type="expression" priority="12" aboveAverage="0" equalAverage="0" bottom="0" percent="0" rank="0" text="" dxfId="10">
      <formula>A16&lt;&gt;""</formula>
    </cfRule>
  </conditionalFormatting>
  <conditionalFormatting sqref="A14:G14 A29:G29 A44:G44 A59:G59 A74:G74 A89:G89 A104:G104 A119:G119 A134:G134 A149:G149 A164:G164 A179:G179">
    <cfRule type="expression" priority="13" aboveAverage="0" equalAverage="0" bottom="0" percent="0" rank="0" text="" dxfId="11">
      <formula>AND($J14&lt;=$J$2,EOMONTH($J14,0)&gt;=$J$2)</formula>
    </cfRule>
  </conditionalFormatting>
  <conditionalFormatting sqref="A4:B4">
    <cfRule type="expression" priority="14" aboveAverage="0" equalAverage="0" bottom="0" percent="0" rank="0" text="" dxfId="12">
      <formula>$A$4&lt;0</formula>
    </cfRule>
  </conditionalFormatting>
  <conditionalFormatting sqref="A6:G6">
    <cfRule type="expression" priority="15" aboveAverage="0" equalAverage="0" bottom="0" percent="0" rank="0" text="" dxfId="13">
      <formula>LEFT($A$6,2)="AT"</formula>
    </cfRule>
    <cfRule type="expression" priority="16" aboveAverage="0" equalAverage="0" bottom="0" percent="0" rank="0" text="" dxfId="14">
      <formula>LEFT($A$6,2)="SO"</formula>
    </cfRule>
    <cfRule type="expression" priority="17" aboveAverage="0" equalAverage="0" bottom="0" percent="0" rank="0" text="" dxfId="15">
      <formula>LEFT($A$6,2)="VE"</formula>
    </cfRule>
  </conditionalFormatting>
  <dataValidations count="1">
    <dataValidation allowBlank="true" error="Scegli A (assenza), G (giustificata) o P (presente), oppure lascia vuoto." errorStyle="stop" errorTitle="Codice non valido" operator="between" showDropDown="false" showErrorMessage="false" showInputMessage="false" sqref="A17:G17 A19:G19 A21:G21 A23:G23 A25:G25 A27:G27 A32:G32 A34:G34 A36:G36 A38:G38 A40:G40 A42:G42 A47:G47 A49:G49 A51:G51 A53:G53 A55:G55 A57:G57 A62:G62 A64:G64 A66:G66 A68:G68 A70:G70 A72:G72 A77:G77 A79:G79 A81:G81 A83:G83 A85:G85 A87:G87 A92:G92 A94:G94 A96:G96 A98:G98 A100:G100 A102:G102 A107:G107 A109:G109 A111:G111 A113:G113 A115:G115 A117:G117 A122:G122 A124:G124 A126:G126 A128:G128 A130:G130 A132:G132 A137:G137 A139:G139 A141:G141 A143:G143 A145:G145 A147:G147 A152:G152 A154:G154 A156:G156 A158:G158 A160:G160 A162:G162 A167:G167 A169:G169 A171:G171 A173:G173 A175:G175 A177:G177 A182:G182 A184:G184 A186:G186 A188:G188 A190:G190 A192:G192" type="list">
      <formula1>"A,G,P"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6"/>
    <col collapsed="false" customWidth="true" hidden="false" outlineLevel="0" max="3" min="3" style="0" width="58"/>
  </cols>
  <sheetData>
    <row r="1" customFormat="false" ht="30" hidden="false" customHeight="true" outlineLevel="0" collapsed="false">
      <c r="A1" s="27" t="s">
        <v>15</v>
      </c>
      <c r="B1" s="27"/>
      <c r="C1" s="27"/>
    </row>
    <row r="3" customFormat="false" ht="21.75" hidden="false" customHeight="true" outlineLevel="0" collapsed="false">
      <c r="A3" s="28" t="s">
        <v>16</v>
      </c>
      <c r="B3" s="28"/>
      <c r="C3" s="28"/>
    </row>
    <row r="4" customFormat="false" ht="24" hidden="false" customHeight="true" outlineLevel="0" collapsed="false">
      <c r="A4" s="29" t="s">
        <v>17</v>
      </c>
      <c r="B4" s="30" t="n">
        <f aca="false">Impostazioni!$B$4</f>
        <v>46296</v>
      </c>
      <c r="C4" s="31"/>
    </row>
    <row r="5" customFormat="false" ht="24" hidden="false" customHeight="true" outlineLevel="0" collapsed="false">
      <c r="A5" s="29" t="s">
        <v>18</v>
      </c>
      <c r="B5" s="30" t="n">
        <f aca="false">Impostazioni!$B$5</f>
        <v>46660</v>
      </c>
      <c r="C5" s="31"/>
    </row>
    <row r="6" customFormat="false" ht="24" hidden="false" customHeight="true" outlineLevel="0" collapsed="false">
      <c r="A6" s="29" t="s">
        <v>19</v>
      </c>
      <c r="B6" s="30" t="n">
        <f aca="false">Impostazioni!$B$8</f>
        <v>46298</v>
      </c>
      <c r="C6" s="31" t="s">
        <v>20</v>
      </c>
    </row>
    <row r="7" customFormat="false" ht="24" hidden="false" customHeight="true" outlineLevel="0" collapsed="false">
      <c r="A7" s="29" t="s">
        <v>21</v>
      </c>
      <c r="B7" s="32" t="n">
        <f aca="false">B5-B4+1</f>
        <v>365</v>
      </c>
      <c r="C7" s="31"/>
    </row>
    <row r="8" customFormat="false" ht="24" hidden="false" customHeight="true" outlineLevel="0" collapsed="false">
      <c r="A8" s="29" t="s">
        <v>22</v>
      </c>
      <c r="B8" s="32" t="n">
        <f aca="false">B7-B9</f>
        <v>53</v>
      </c>
      <c r="C8" s="31" t="s">
        <v>23</v>
      </c>
    </row>
    <row r="9" customFormat="false" ht="24" hidden="false" customHeight="true" outlineLevel="0" collapsed="false">
      <c r="A9" s="29" t="s">
        <v>24</v>
      </c>
      <c r="B9" s="32" t="n">
        <f aca="false">SUM(Giorni!$F$2:$F$367)</f>
        <v>312</v>
      </c>
      <c r="C9" s="31" t="s">
        <v>25</v>
      </c>
    </row>
    <row r="10" customFormat="false" ht="24" hidden="false" customHeight="true" outlineLevel="0" collapsed="false">
      <c r="A10" s="29" t="s">
        <v>26</v>
      </c>
      <c r="B10" s="33" t="n">
        <f aca="false">Impostazioni!$B$6</f>
        <v>0.56</v>
      </c>
      <c r="C10" s="31"/>
    </row>
    <row r="11" customFormat="false" ht="24" hidden="false" customHeight="true" outlineLevel="0" collapsed="false">
      <c r="A11" s="29" t="s">
        <v>27</v>
      </c>
      <c r="B11" s="32" t="n">
        <f aca="false">ROUNDUP(ROUND(B10*B9,6),0)</f>
        <v>175</v>
      </c>
      <c r="C11" s="31" t="s">
        <v>28</v>
      </c>
    </row>
    <row r="12" customFormat="false" ht="24" hidden="false" customHeight="true" outlineLevel="0" collapsed="false">
      <c r="A12" s="29" t="s">
        <v>29</v>
      </c>
      <c r="B12" s="32" t="n">
        <f aca="false">B9-B11</f>
        <v>137</v>
      </c>
      <c r="C12" s="31"/>
    </row>
    <row r="14" customFormat="false" ht="21.75" hidden="false" customHeight="true" outlineLevel="0" collapsed="false">
      <c r="A14" s="28" t="s">
        <v>30</v>
      </c>
      <c r="B14" s="28"/>
      <c r="C14" s="28"/>
    </row>
    <row r="15" customFormat="false" ht="24" hidden="false" customHeight="true" outlineLevel="0" collapsed="false">
      <c r="A15" s="29" t="s">
        <v>31</v>
      </c>
      <c r="B15" s="32" t="n">
        <f aca="false">SUM(Giorni!$J$2:$J$367)</f>
        <v>0</v>
      </c>
      <c r="C15" s="31"/>
    </row>
    <row r="16" customFormat="false" ht="24" hidden="false" customHeight="true" outlineLevel="0" collapsed="false">
      <c r="A16" s="29" t="s">
        <v>32</v>
      </c>
      <c r="B16" s="32" t="n">
        <f aca="false">SUM(Giorni!$K$2:$K$367)</f>
        <v>0</v>
      </c>
      <c r="C16" s="31" t="s">
        <v>33</v>
      </c>
    </row>
    <row r="17" customFormat="false" ht="24" hidden="false" customHeight="true" outlineLevel="0" collapsed="false">
      <c r="A17" s="34" t="s">
        <v>34</v>
      </c>
      <c r="B17" s="35" t="n">
        <f aca="false">B12-B15</f>
        <v>137</v>
      </c>
      <c r="C17" s="36" t="s">
        <v>35</v>
      </c>
    </row>
    <row r="18" customFormat="false" ht="24" hidden="false" customHeight="true" outlineLevel="0" collapsed="false">
      <c r="A18" s="29" t="s">
        <v>36</v>
      </c>
      <c r="B18" s="32" t="n">
        <f aca="false">SUM(Giorni!$L$2:$L$367)</f>
        <v>310</v>
      </c>
      <c r="C18" s="31"/>
    </row>
    <row r="19" customFormat="false" ht="24" hidden="false" customHeight="true" outlineLevel="0" collapsed="false">
      <c r="A19" s="29" t="s">
        <v>37</v>
      </c>
      <c r="B19" s="32" t="n">
        <f aca="false">B9-B18</f>
        <v>2</v>
      </c>
      <c r="C19" s="31"/>
    </row>
    <row r="20" customFormat="false" ht="24" hidden="false" customHeight="true" outlineLevel="0" collapsed="false">
      <c r="A20" s="29" t="s">
        <v>38</v>
      </c>
      <c r="B20" s="32" t="n">
        <f aca="false">SUMIFS(Giorni!$J$2:$J$367,Giorni!$A$2:$A$367,"&lt;"&amp;B6)</f>
        <v>0</v>
      </c>
      <c r="C20" s="31"/>
    </row>
    <row r="21" customFormat="false" ht="24" hidden="false" customHeight="true" outlineLevel="0" collapsed="false">
      <c r="A21" s="29" t="s">
        <v>39</v>
      </c>
      <c r="B21" s="32" t="n">
        <f aca="false">B19-B20</f>
        <v>2</v>
      </c>
      <c r="C21" s="31" t="s">
        <v>40</v>
      </c>
    </row>
    <row r="22" customFormat="false" ht="24" hidden="false" customHeight="true" outlineLevel="0" collapsed="false">
      <c r="A22" s="29" t="s">
        <v>41</v>
      </c>
      <c r="B22" s="37" t="n">
        <f aca="false">IF(B19=0,"-",B21/B19)</f>
        <v>1</v>
      </c>
      <c r="C22" s="31" t="s">
        <v>42</v>
      </c>
    </row>
    <row r="23" customFormat="false" ht="24" hidden="false" customHeight="true" outlineLevel="0" collapsed="false">
      <c r="A23" s="29" t="s">
        <v>43</v>
      </c>
      <c r="B23" s="32" t="n">
        <f aca="false">B9-B15</f>
        <v>312</v>
      </c>
      <c r="C23" s="31" t="s">
        <v>44</v>
      </c>
    </row>
    <row r="24" customFormat="false" ht="24" hidden="false" customHeight="true" outlineLevel="0" collapsed="false">
      <c r="A24" s="29" t="s">
        <v>45</v>
      </c>
      <c r="B24" s="37" t="n">
        <f aca="false">IF(B9=0,0,B23/B9)</f>
        <v>1</v>
      </c>
      <c r="C24" s="31" t="s">
        <v>46</v>
      </c>
    </row>
    <row r="25" customFormat="false" ht="24" hidden="false" customHeight="true" outlineLevel="0" collapsed="false">
      <c r="A25" s="29" t="s">
        <v>47</v>
      </c>
      <c r="B25" s="37" t="n">
        <f aca="false">B24-B10</f>
        <v>0.44</v>
      </c>
      <c r="C25" s="31" t="s">
        <v>48</v>
      </c>
    </row>
    <row r="27" customFormat="false" ht="21.75" hidden="false" customHeight="true" outlineLevel="0" collapsed="false">
      <c r="A27" s="28" t="s">
        <v>49</v>
      </c>
      <c r="B27" s="28"/>
      <c r="C27" s="28"/>
    </row>
    <row r="28" customFormat="false" ht="24" hidden="false" customHeight="true" outlineLevel="0" collapsed="false">
      <c r="A28" s="29" t="s">
        <v>50</v>
      </c>
      <c r="B28" s="38" t="n">
        <f aca="false">Mesi!G17</f>
        <v>10.9354838709677</v>
      </c>
      <c r="C28" s="31" t="s">
        <v>51</v>
      </c>
    </row>
    <row r="29" customFormat="false" ht="24" hidden="false" customHeight="true" outlineLevel="0" collapsed="false">
      <c r="A29" s="34" t="s">
        <v>52</v>
      </c>
      <c r="B29" s="39" t="n">
        <f aca="false">IF(B28=0,0,ROUND(MAX(0,B17)/B28,4))</f>
        <v>12.528</v>
      </c>
      <c r="C29" s="36" t="s">
        <v>53</v>
      </c>
    </row>
    <row r="30" customFormat="false" ht="24" hidden="false" customHeight="true" outlineLevel="0" collapsed="false">
      <c r="A30" s="29" t="s">
        <v>54</v>
      </c>
      <c r="B30" s="40" t="str">
        <f aca="false">Impostazioni!$B$9</f>
        <v>Giorni validi</v>
      </c>
      <c r="C30" s="31" t="s">
        <v>55</v>
      </c>
    </row>
  </sheetData>
  <sheetProtection sheet="true" formatColumns="false" formatRows="false"/>
  <mergeCells count="4">
    <mergeCell ref="A1:C1"/>
    <mergeCell ref="A3:C3"/>
    <mergeCell ref="A14:C14"/>
    <mergeCell ref="A27:C27"/>
  </mergeCells>
  <conditionalFormatting sqref="B17">
    <cfRule type="expression" priority="2" aboveAverage="0" equalAverage="0" bottom="0" percent="0" rank="0" text="" dxfId="12">
      <formula>$B$17&lt;0</formula>
    </cfRule>
  </conditionalFormatting>
  <conditionalFormatting sqref="B25">
    <cfRule type="expression" priority="3" aboveAverage="0" equalAverage="0" bottom="0" percent="0" rank="0" text="" dxfId="12">
      <formula>AND(ISNUMBER($B$25),$B$25&lt;0)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3"/>
    <col collapsed="false" customWidth="true" hidden="false" outlineLevel="0" max="3" min="3" style="0" width="11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true" outlineLevel="0" max="8" min="8" style="0" width="13"/>
  </cols>
  <sheetData>
    <row r="1" customFormat="false" ht="30" hidden="false" customHeight="true" outlineLevel="0" collapsed="false">
      <c r="A1" s="27" t="s">
        <v>56</v>
      </c>
      <c r="B1" s="27"/>
      <c r="C1" s="27"/>
      <c r="D1" s="27"/>
      <c r="E1" s="27"/>
      <c r="F1" s="27"/>
      <c r="G1" s="27"/>
    </row>
    <row r="2" customFormat="false" ht="27.75" hidden="false" customHeight="true" outlineLevel="0" collapsed="false">
      <c r="A2" s="41" t="s">
        <v>57</v>
      </c>
      <c r="B2" s="41"/>
      <c r="C2" s="41"/>
      <c r="D2" s="41"/>
      <c r="E2" s="41"/>
      <c r="F2" s="41"/>
      <c r="G2" s="41"/>
    </row>
    <row r="4" customFormat="false" ht="24" hidden="false" customHeight="true" outlineLevel="0" collapsed="false">
      <c r="A4" s="42" t="s">
        <v>58</v>
      </c>
      <c r="B4" s="42" t="s">
        <v>59</v>
      </c>
      <c r="C4" s="42" t="s">
        <v>60</v>
      </c>
      <c r="D4" s="42" t="s">
        <v>61</v>
      </c>
      <c r="E4" s="42" t="s">
        <v>62</v>
      </c>
      <c r="F4" s="42" t="s">
        <v>63</v>
      </c>
      <c r="G4" s="42" t="s">
        <v>64</v>
      </c>
    </row>
    <row r="5" customFormat="false" ht="15" hidden="false" customHeight="false" outlineLevel="0" collapsed="false">
      <c r="A5" s="43" t="str">
        <f aca="false">CHOOSE(MONTH(H5),"Gennaio","Febbraio","Marzo","Aprile","Maggio","Giugno","Luglio","Agosto","Settembre","Ottobre","Novembre","Dicembre")&amp;" "&amp;YEAR(H5)</f>
        <v>Ottobre 2026</v>
      </c>
      <c r="B5" s="44" t="n">
        <f aca="false">SUMIFS(Giorni!$F$2:$F$367,Giorni!$B$2:$B$367,H5)</f>
        <v>31</v>
      </c>
      <c r="C5" s="44" t="n">
        <f aca="false">SUMIFS(Giorni!$J$2:$J$367,Giorni!$B$2:$B$367,H5)</f>
        <v>0</v>
      </c>
      <c r="D5" s="44" t="n">
        <f aca="false">SUMIFS(Giorni!$K$2:$K$367,Giorni!$B$2:$B$367,H5)</f>
        <v>0</v>
      </c>
      <c r="E5" s="44" t="n">
        <f aca="false">B5-C5</f>
        <v>31</v>
      </c>
      <c r="F5" s="45" t="n">
        <f aca="false">IF(B5=0,"-",E5/B5)</f>
        <v>1</v>
      </c>
      <c r="G5" s="46" t="n">
        <f aca="false">IF(B5=0,0,IF(Impostazioni!$B$9="Giorni di calendario",MAX(0,MIN(EOMONTH(H5,0),Impostazioni!$B$5)-MAX(H5,Impostazioni!$B$8,Impostazioni!$B$4)+1)/DAY(EOMONTH(H5,0)),SUMIFS(Giorni!$L$2:$L$367,Giorni!$B$2:$B$367,H5)/B5))</f>
        <v>0.935483870967742</v>
      </c>
      <c r="H5" s="3" t="n">
        <f aca="false">Impostazioni!$B$11</f>
        <v>46296</v>
      </c>
    </row>
    <row r="6" customFormat="false" ht="15" hidden="false" customHeight="false" outlineLevel="0" collapsed="false">
      <c r="A6" s="47" t="str">
        <f aca="false">CHOOSE(MONTH(H6),"Gennaio","Febbraio","Marzo","Aprile","Maggio","Giugno","Luglio","Agosto","Settembre","Ottobre","Novembre","Dicembre")&amp;" "&amp;YEAR(H6)</f>
        <v>Novembre 2026</v>
      </c>
      <c r="B6" s="48" t="n">
        <f aca="false">SUMIFS(Giorni!$F$2:$F$367,Giorni!$B$2:$B$367,H6)</f>
        <v>29</v>
      </c>
      <c r="C6" s="48" t="n">
        <f aca="false">SUMIFS(Giorni!$J$2:$J$367,Giorni!$B$2:$B$367,H6)</f>
        <v>0</v>
      </c>
      <c r="D6" s="48" t="n">
        <f aca="false">SUMIFS(Giorni!$K$2:$K$367,Giorni!$B$2:$B$367,H6)</f>
        <v>0</v>
      </c>
      <c r="E6" s="48" t="n">
        <f aca="false">B6-C6</f>
        <v>29</v>
      </c>
      <c r="F6" s="49" t="n">
        <f aca="false">IF(B6=0,"-",E6/B6)</f>
        <v>1</v>
      </c>
      <c r="G6" s="50" t="n">
        <f aca="false">IF(B6=0,0,IF(Impostazioni!$B$9="Giorni di calendario",MAX(0,MIN(EOMONTH(H6,0),Impostazioni!$B$5)-MAX(H6,Impostazioni!$B$8,Impostazioni!$B$4)+1)/DAY(EOMONTH(H6,0)),SUMIFS(Giorni!$L$2:$L$367,Giorni!$B$2:$B$367,H6)/B6))</f>
        <v>1</v>
      </c>
      <c r="H6" s="25" t="n">
        <f aca="false">EDATE(H5,1)</f>
        <v>46327</v>
      </c>
    </row>
    <row r="7" customFormat="false" ht="15" hidden="false" customHeight="false" outlineLevel="0" collapsed="false">
      <c r="A7" s="43" t="str">
        <f aca="false">CHOOSE(MONTH(H7),"Gennaio","Febbraio","Marzo","Aprile","Maggio","Giugno","Luglio","Agosto","Settembre","Ottobre","Novembre","Dicembre")&amp;" "&amp;YEAR(H7)</f>
        <v>Dicembre 2026</v>
      </c>
      <c r="B7" s="44" t="n">
        <f aca="false">SUMIFS(Giorni!$F$2:$F$367,Giorni!$B$2:$B$367,H7)</f>
        <v>21</v>
      </c>
      <c r="C7" s="44" t="n">
        <f aca="false">SUMIFS(Giorni!$J$2:$J$367,Giorni!$B$2:$B$367,H7)</f>
        <v>0</v>
      </c>
      <c r="D7" s="44" t="n">
        <f aca="false">SUMIFS(Giorni!$K$2:$K$367,Giorni!$B$2:$B$367,H7)</f>
        <v>0</v>
      </c>
      <c r="E7" s="44" t="n">
        <f aca="false">B7-C7</f>
        <v>21</v>
      </c>
      <c r="F7" s="45" t="n">
        <f aca="false">IF(B7=0,"-",E7/B7)</f>
        <v>1</v>
      </c>
      <c r="G7" s="46" t="n">
        <f aca="false">IF(B7=0,0,IF(Impostazioni!$B$9="Giorni di calendario",MAX(0,MIN(EOMONTH(H7,0),Impostazioni!$B$5)-MAX(H7,Impostazioni!$B$8,Impostazioni!$B$4)+1)/DAY(EOMONTH(H7,0)),SUMIFS(Giorni!$L$2:$L$367,Giorni!$B$2:$B$367,H7)/B7))</f>
        <v>1</v>
      </c>
      <c r="H7" s="25" t="n">
        <f aca="false">EDATE(H6,1)</f>
        <v>46357</v>
      </c>
    </row>
    <row r="8" customFormat="false" ht="15" hidden="false" customHeight="false" outlineLevel="0" collapsed="false">
      <c r="A8" s="47" t="str">
        <f aca="false">CHOOSE(MONTH(H8),"Gennaio","Febbraio","Marzo","Aprile","Maggio","Giugno","Luglio","Agosto","Settembre","Ottobre","Novembre","Dicembre")&amp;" "&amp;YEAR(H8)</f>
        <v>Gennaio 2027</v>
      </c>
      <c r="B8" s="48" t="n">
        <f aca="false">SUMIFS(Giorni!$F$2:$F$367,Giorni!$B$2:$B$367,H8)</f>
        <v>25</v>
      </c>
      <c r="C8" s="48" t="n">
        <f aca="false">SUMIFS(Giorni!$J$2:$J$367,Giorni!$B$2:$B$367,H8)</f>
        <v>0</v>
      </c>
      <c r="D8" s="48" t="n">
        <f aca="false">SUMIFS(Giorni!$K$2:$K$367,Giorni!$B$2:$B$367,H8)</f>
        <v>0</v>
      </c>
      <c r="E8" s="48" t="n">
        <f aca="false">B8-C8</f>
        <v>25</v>
      </c>
      <c r="F8" s="49" t="n">
        <f aca="false">IF(B8=0,"-",E8/B8)</f>
        <v>1</v>
      </c>
      <c r="G8" s="50" t="n">
        <f aca="false">IF(B8=0,0,IF(Impostazioni!$B$9="Giorni di calendario",MAX(0,MIN(EOMONTH(H8,0),Impostazioni!$B$5)-MAX(H8,Impostazioni!$B$8,Impostazioni!$B$4)+1)/DAY(EOMONTH(H8,0)),SUMIFS(Giorni!$L$2:$L$367,Giorni!$B$2:$B$367,H8)/B8))</f>
        <v>1</v>
      </c>
      <c r="H8" s="25" t="n">
        <f aca="false">EDATE(H7,1)</f>
        <v>46388</v>
      </c>
    </row>
    <row r="9" customFormat="false" ht="15" hidden="false" customHeight="false" outlineLevel="0" collapsed="false">
      <c r="A9" s="43" t="str">
        <f aca="false">CHOOSE(MONTH(H9),"Gennaio","Febbraio","Marzo","Aprile","Maggio","Giugno","Luglio","Agosto","Settembre","Ottobre","Novembre","Dicembre")&amp;" "&amp;YEAR(H9)</f>
        <v>Febbraio 2027</v>
      </c>
      <c r="B9" s="44" t="n">
        <f aca="false">SUMIFS(Giorni!$F$2:$F$367,Giorni!$B$2:$B$367,H9)</f>
        <v>28</v>
      </c>
      <c r="C9" s="44" t="n">
        <f aca="false">SUMIFS(Giorni!$J$2:$J$367,Giorni!$B$2:$B$367,H9)</f>
        <v>0</v>
      </c>
      <c r="D9" s="44" t="n">
        <f aca="false">SUMIFS(Giorni!$K$2:$K$367,Giorni!$B$2:$B$367,H9)</f>
        <v>0</v>
      </c>
      <c r="E9" s="44" t="n">
        <f aca="false">B9-C9</f>
        <v>28</v>
      </c>
      <c r="F9" s="45" t="n">
        <f aca="false">IF(B9=0,"-",E9/B9)</f>
        <v>1</v>
      </c>
      <c r="G9" s="46" t="n">
        <f aca="false">IF(B9=0,0,IF(Impostazioni!$B$9="Giorni di calendario",MAX(0,MIN(EOMONTH(H9,0),Impostazioni!$B$5)-MAX(H9,Impostazioni!$B$8,Impostazioni!$B$4)+1)/DAY(EOMONTH(H9,0)),SUMIFS(Giorni!$L$2:$L$367,Giorni!$B$2:$B$367,H9)/B9))</f>
        <v>1</v>
      </c>
      <c r="H9" s="25" t="n">
        <f aca="false">EDATE(H8,1)</f>
        <v>46419</v>
      </c>
    </row>
    <row r="10" customFormat="false" ht="15" hidden="false" customHeight="false" outlineLevel="0" collapsed="false">
      <c r="A10" s="47" t="str">
        <f aca="false">CHOOSE(MONTH(H10),"Gennaio","Febbraio","Marzo","Aprile","Maggio","Giugno","Luglio","Agosto","Settembre","Ottobre","Novembre","Dicembre")&amp;" "&amp;YEAR(H10)</f>
        <v>Marzo 2027</v>
      </c>
      <c r="B10" s="48" t="n">
        <f aca="false">SUMIFS(Giorni!$F$2:$F$367,Giorni!$B$2:$B$367,H10)</f>
        <v>29</v>
      </c>
      <c r="C10" s="48" t="n">
        <f aca="false">SUMIFS(Giorni!$J$2:$J$367,Giorni!$B$2:$B$367,H10)</f>
        <v>0</v>
      </c>
      <c r="D10" s="48" t="n">
        <f aca="false">SUMIFS(Giorni!$K$2:$K$367,Giorni!$B$2:$B$367,H10)</f>
        <v>0</v>
      </c>
      <c r="E10" s="48" t="n">
        <f aca="false">B10-C10</f>
        <v>29</v>
      </c>
      <c r="F10" s="49" t="n">
        <f aca="false">IF(B10=0,"-",E10/B10)</f>
        <v>1</v>
      </c>
      <c r="G10" s="50" t="n">
        <f aca="false">IF(B10=0,0,IF(Impostazioni!$B$9="Giorni di calendario",MAX(0,MIN(EOMONTH(H10,0),Impostazioni!$B$5)-MAX(H10,Impostazioni!$B$8,Impostazioni!$B$4)+1)/DAY(EOMONTH(H10,0)),SUMIFS(Giorni!$L$2:$L$367,Giorni!$B$2:$B$367,H10)/B10))</f>
        <v>1</v>
      </c>
      <c r="H10" s="25" t="n">
        <f aca="false">EDATE(H9,1)</f>
        <v>46447</v>
      </c>
    </row>
    <row r="11" customFormat="false" ht="15" hidden="false" customHeight="false" outlineLevel="0" collapsed="false">
      <c r="A11" s="43" t="str">
        <f aca="false">CHOOSE(MONTH(H11),"Gennaio","Febbraio","Marzo","Aprile","Maggio","Giugno","Luglio","Agosto","Settembre","Ottobre","Novembre","Dicembre")&amp;" "&amp;YEAR(H11)</f>
        <v>Aprile 2027</v>
      </c>
      <c r="B11" s="44" t="n">
        <f aca="false">SUMIFS(Giorni!$F$2:$F$367,Giorni!$B$2:$B$367,H11)</f>
        <v>29</v>
      </c>
      <c r="C11" s="44" t="n">
        <f aca="false">SUMIFS(Giorni!$J$2:$J$367,Giorni!$B$2:$B$367,H11)</f>
        <v>0</v>
      </c>
      <c r="D11" s="44" t="n">
        <f aca="false">SUMIFS(Giorni!$K$2:$K$367,Giorni!$B$2:$B$367,H11)</f>
        <v>0</v>
      </c>
      <c r="E11" s="44" t="n">
        <f aca="false">B11-C11</f>
        <v>29</v>
      </c>
      <c r="F11" s="45" t="n">
        <f aca="false">IF(B11=0,"-",E11/B11)</f>
        <v>1</v>
      </c>
      <c r="G11" s="46" t="n">
        <f aca="false">IF(B11=0,0,IF(Impostazioni!$B$9="Giorni di calendario",MAX(0,MIN(EOMONTH(H11,0),Impostazioni!$B$5)-MAX(H11,Impostazioni!$B$8,Impostazioni!$B$4)+1)/DAY(EOMONTH(H11,0)),SUMIFS(Giorni!$L$2:$L$367,Giorni!$B$2:$B$367,H11)/B11))</f>
        <v>1</v>
      </c>
      <c r="H11" s="25" t="n">
        <f aca="false">EDATE(H10,1)</f>
        <v>46478</v>
      </c>
    </row>
    <row r="12" customFormat="false" ht="15" hidden="false" customHeight="false" outlineLevel="0" collapsed="false">
      <c r="A12" s="47" t="str">
        <f aca="false">CHOOSE(MONTH(H12),"Gennaio","Febbraio","Marzo","Aprile","Maggio","Giugno","Luglio","Agosto","Settembre","Ottobre","Novembre","Dicembre")&amp;" "&amp;YEAR(H12)</f>
        <v>Maggio 2027</v>
      </c>
      <c r="B12" s="48" t="n">
        <f aca="false">SUMIFS(Giorni!$F$2:$F$367,Giorni!$B$2:$B$367,H12)</f>
        <v>30</v>
      </c>
      <c r="C12" s="48" t="n">
        <f aca="false">SUMIFS(Giorni!$J$2:$J$367,Giorni!$B$2:$B$367,H12)</f>
        <v>0</v>
      </c>
      <c r="D12" s="48" t="n">
        <f aca="false">SUMIFS(Giorni!$K$2:$K$367,Giorni!$B$2:$B$367,H12)</f>
        <v>0</v>
      </c>
      <c r="E12" s="48" t="n">
        <f aca="false">B12-C12</f>
        <v>30</v>
      </c>
      <c r="F12" s="49" t="n">
        <f aca="false">IF(B12=0,"-",E12/B12)</f>
        <v>1</v>
      </c>
      <c r="G12" s="50" t="n">
        <f aca="false">IF(B12=0,0,IF(Impostazioni!$B$9="Giorni di calendario",MAX(0,MIN(EOMONTH(H12,0),Impostazioni!$B$5)-MAX(H12,Impostazioni!$B$8,Impostazioni!$B$4)+1)/DAY(EOMONTH(H12,0)),SUMIFS(Giorni!$L$2:$L$367,Giorni!$B$2:$B$367,H12)/B12))</f>
        <v>1</v>
      </c>
      <c r="H12" s="25" t="n">
        <f aca="false">EDATE(H11,1)</f>
        <v>46508</v>
      </c>
    </row>
    <row r="13" customFormat="false" ht="15" hidden="false" customHeight="false" outlineLevel="0" collapsed="false">
      <c r="A13" s="43" t="str">
        <f aca="false">CHOOSE(MONTH(H13),"Gennaio","Febbraio","Marzo","Aprile","Maggio","Giugno","Luglio","Agosto","Settembre","Ottobre","Novembre","Dicembre")&amp;" "&amp;YEAR(H13)</f>
        <v>Giugno 2027</v>
      </c>
      <c r="B13" s="44" t="n">
        <f aca="false">SUMIFS(Giorni!$F$2:$F$367,Giorni!$B$2:$B$367,H13)</f>
        <v>29</v>
      </c>
      <c r="C13" s="44" t="n">
        <f aca="false">SUMIFS(Giorni!$J$2:$J$367,Giorni!$B$2:$B$367,H13)</f>
        <v>0</v>
      </c>
      <c r="D13" s="44" t="n">
        <f aca="false">SUMIFS(Giorni!$K$2:$K$367,Giorni!$B$2:$B$367,H13)</f>
        <v>0</v>
      </c>
      <c r="E13" s="44" t="n">
        <f aca="false">B13-C13</f>
        <v>29</v>
      </c>
      <c r="F13" s="45" t="n">
        <f aca="false">IF(B13=0,"-",E13/B13)</f>
        <v>1</v>
      </c>
      <c r="G13" s="46" t="n">
        <f aca="false">IF(B13=0,0,IF(Impostazioni!$B$9="Giorni di calendario",MAX(0,MIN(EOMONTH(H13,0),Impostazioni!$B$5)-MAX(H13,Impostazioni!$B$8,Impostazioni!$B$4)+1)/DAY(EOMONTH(H13,0)),SUMIFS(Giorni!$L$2:$L$367,Giorni!$B$2:$B$367,H13)/B13))</f>
        <v>1</v>
      </c>
      <c r="H13" s="25" t="n">
        <f aca="false">EDATE(H12,1)</f>
        <v>46539</v>
      </c>
    </row>
    <row r="14" customFormat="false" ht="15" hidden="false" customHeight="false" outlineLevel="0" collapsed="false">
      <c r="A14" s="47" t="str">
        <f aca="false">CHOOSE(MONTH(H14),"Gennaio","Febbraio","Marzo","Aprile","Maggio","Giugno","Luglio","Agosto","Settembre","Ottobre","Novembre","Dicembre")&amp;" "&amp;YEAR(H14)</f>
        <v>Luglio 2027</v>
      </c>
      <c r="B14" s="48" t="n">
        <f aca="false">SUMIFS(Giorni!$F$2:$F$367,Giorni!$B$2:$B$367,H14)</f>
        <v>31</v>
      </c>
      <c r="C14" s="48" t="n">
        <f aca="false">SUMIFS(Giorni!$J$2:$J$367,Giorni!$B$2:$B$367,H14)</f>
        <v>0</v>
      </c>
      <c r="D14" s="48" t="n">
        <f aca="false">SUMIFS(Giorni!$K$2:$K$367,Giorni!$B$2:$B$367,H14)</f>
        <v>0</v>
      </c>
      <c r="E14" s="48" t="n">
        <f aca="false">B14-C14</f>
        <v>31</v>
      </c>
      <c r="F14" s="49" t="n">
        <f aca="false">IF(B14=0,"-",E14/B14)</f>
        <v>1</v>
      </c>
      <c r="G14" s="50" t="n">
        <f aca="false">IF(B14=0,0,IF(Impostazioni!$B$9="Giorni di calendario",MAX(0,MIN(EOMONTH(H14,0),Impostazioni!$B$5)-MAX(H14,Impostazioni!$B$8,Impostazioni!$B$4)+1)/DAY(EOMONTH(H14,0)),SUMIFS(Giorni!$L$2:$L$367,Giorni!$B$2:$B$367,H14)/B14))</f>
        <v>1</v>
      </c>
      <c r="H14" s="25" t="n">
        <f aca="false">EDATE(H13,1)</f>
        <v>46569</v>
      </c>
    </row>
    <row r="15" customFormat="false" ht="15" hidden="false" customHeight="false" outlineLevel="0" collapsed="false">
      <c r="A15" s="43" t="str">
        <f aca="false">CHOOSE(MONTH(H15),"Gennaio","Febbraio","Marzo","Aprile","Maggio","Giugno","Luglio","Agosto","Settembre","Ottobre","Novembre","Dicembre")&amp;" "&amp;YEAR(H15)</f>
        <v>Agosto 2027</v>
      </c>
      <c r="B15" s="44" t="n">
        <f aca="false">SUMIFS(Giorni!$F$2:$F$367,Giorni!$B$2:$B$367,H15)</f>
        <v>0</v>
      </c>
      <c r="C15" s="44" t="n">
        <f aca="false">SUMIFS(Giorni!$J$2:$J$367,Giorni!$B$2:$B$367,H15)</f>
        <v>0</v>
      </c>
      <c r="D15" s="44" t="n">
        <f aca="false">SUMIFS(Giorni!$K$2:$K$367,Giorni!$B$2:$B$367,H15)</f>
        <v>0</v>
      </c>
      <c r="E15" s="44" t="n">
        <f aca="false">B15-C15</f>
        <v>0</v>
      </c>
      <c r="F15" s="45" t="str">
        <f aca="false">IF(B15=0,"-",E15/B15)</f>
        <v>-</v>
      </c>
      <c r="G15" s="46" t="n">
        <f aca="false">IF(B15=0,0,IF(Impostazioni!$B$9="Giorni di calendario",MAX(0,MIN(EOMONTH(H15,0),Impostazioni!$B$5)-MAX(H15,Impostazioni!$B$8,Impostazioni!$B$4)+1)/DAY(EOMONTH(H15,0)),SUMIFS(Giorni!$L$2:$L$367,Giorni!$B$2:$B$367,H15)/B15))</f>
        <v>0</v>
      </c>
      <c r="H15" s="25" t="n">
        <f aca="false">EDATE(H14,1)</f>
        <v>46600</v>
      </c>
    </row>
    <row r="16" customFormat="false" ht="15" hidden="false" customHeight="false" outlineLevel="0" collapsed="false">
      <c r="A16" s="47" t="str">
        <f aca="false">CHOOSE(MONTH(H16),"Gennaio","Febbraio","Marzo","Aprile","Maggio","Giugno","Luglio","Agosto","Settembre","Ottobre","Novembre","Dicembre")&amp;" "&amp;YEAR(H16)</f>
        <v>Settembre 2027</v>
      </c>
      <c r="B16" s="48" t="n">
        <f aca="false">SUMIFS(Giorni!$F$2:$F$367,Giorni!$B$2:$B$367,H16)</f>
        <v>30</v>
      </c>
      <c r="C16" s="48" t="n">
        <f aca="false">SUMIFS(Giorni!$J$2:$J$367,Giorni!$B$2:$B$367,H16)</f>
        <v>0</v>
      </c>
      <c r="D16" s="48" t="n">
        <f aca="false">SUMIFS(Giorni!$K$2:$K$367,Giorni!$B$2:$B$367,H16)</f>
        <v>0</v>
      </c>
      <c r="E16" s="48" t="n">
        <f aca="false">B16-C16</f>
        <v>30</v>
      </c>
      <c r="F16" s="49" t="n">
        <f aca="false">IF(B16=0,"-",E16/B16)</f>
        <v>1</v>
      </c>
      <c r="G16" s="50" t="n">
        <f aca="false">IF(B16=0,0,IF(Impostazioni!$B$9="Giorni di calendario",MAX(0,MIN(EOMONTH(H16,0),Impostazioni!$B$5)-MAX(H16,Impostazioni!$B$8,Impostazioni!$B$4)+1)/DAY(EOMONTH(H16,0)),SUMIFS(Giorni!$L$2:$L$367,Giorni!$B$2:$B$367,H16)/B16))</f>
        <v>1</v>
      </c>
      <c r="H16" s="25" t="n">
        <f aca="false">EDATE(H15,1)</f>
        <v>46631</v>
      </c>
    </row>
    <row r="17" customFormat="false" ht="15" hidden="false" customHeight="false" outlineLevel="0" collapsed="false">
      <c r="A17" s="51" t="s">
        <v>65</v>
      </c>
      <c r="B17" s="52" t="n">
        <f aca="false">SUM(B5:B16)</f>
        <v>312</v>
      </c>
      <c r="C17" s="52" t="n">
        <f aca="false">SUM(C5:C16)</f>
        <v>0</v>
      </c>
      <c r="D17" s="52" t="n">
        <f aca="false">SUM(D5:D16)</f>
        <v>0</v>
      </c>
      <c r="E17" s="52" t="n">
        <f aca="false">SUM(E5:E16)</f>
        <v>312</v>
      </c>
      <c r="F17" s="53" t="n">
        <f aca="false">IF(B17=0,"-",E17/B17)</f>
        <v>1</v>
      </c>
      <c r="G17" s="54" t="n">
        <f aca="false">SUM(G5:G16)</f>
        <v>10.9354838709677</v>
      </c>
    </row>
  </sheetData>
  <sheetProtection sheet="true" formatColumns="false" formatRows="false"/>
  <mergeCells count="2">
    <mergeCell ref="A1:G1"/>
    <mergeCell ref="A2:G2"/>
  </mergeCells>
  <conditionalFormatting sqref="C5:C16">
    <cfRule type="expression" priority="2" aboveAverage="0" equalAverage="0" bottom="0" percent="0" rank="0" text="" dxfId="16">
      <formula>C5&gt;0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3" min="2" style="0" width="14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34"/>
    <col collapsed="false" customWidth="true" hidden="true" outlineLevel="0" max="7" min="7" style="0" width="8"/>
  </cols>
  <sheetData>
    <row r="1" customFormat="false" ht="30" hidden="false" customHeight="true" outlineLevel="0" collapsed="false">
      <c r="A1" s="27" t="s">
        <v>66</v>
      </c>
      <c r="B1" s="27"/>
      <c r="C1" s="27"/>
      <c r="D1" s="27"/>
      <c r="E1" s="27"/>
      <c r="F1" s="27"/>
    </row>
    <row r="2" customFormat="false" ht="27.75" hidden="false" customHeight="true" outlineLevel="0" collapsed="false">
      <c r="A2" s="41" t="s">
        <v>67</v>
      </c>
      <c r="B2" s="41"/>
      <c r="C2" s="41"/>
      <c r="D2" s="41"/>
      <c r="E2" s="41"/>
      <c r="F2" s="41"/>
    </row>
    <row r="3" customFormat="false" ht="21.75" hidden="false" customHeight="true" outlineLevel="0" collapsed="false">
      <c r="A3" s="55" t="str">
        <f aca="false">"Segnate: "&amp;MAX(Giorni!$N$2:$N$367)&amp;"  ·  Contano come assenza: "&amp;Riepilogo!B15&amp;"  ·  Giustificate valide: "&amp;Riepilogo!B16</f>
        <v>Segnate: 0  ·  Contano come assenza: 0  ·  Giustificate valide: 0</v>
      </c>
      <c r="B3" s="55"/>
      <c r="C3" s="55"/>
      <c r="D3" s="55"/>
      <c r="E3" s="55"/>
      <c r="F3" s="55"/>
    </row>
    <row r="4" customFormat="false" ht="21.75" hidden="false" customHeight="true" outlineLevel="0" collapsed="false">
      <c r="A4" s="42" t="s">
        <v>68</v>
      </c>
      <c r="B4" s="42" t="s">
        <v>69</v>
      </c>
      <c r="C4" s="42" t="s">
        <v>70</v>
      </c>
      <c r="D4" s="42" t="s">
        <v>71</v>
      </c>
      <c r="E4" s="42" t="s">
        <v>72</v>
      </c>
      <c r="F4" s="42" t="s">
        <v>73</v>
      </c>
    </row>
    <row r="5" customFormat="false" ht="15" hidden="false" customHeight="false" outlineLevel="0" collapsed="false">
      <c r="A5" s="56" t="str">
        <f aca="false">IF(G5="","",1)</f>
        <v/>
      </c>
      <c r="B5" s="57" t="str">
        <f aca="false">IF(G5="","",INDEX(Giorni!$A$2:$A$367,G5))</f>
        <v/>
      </c>
      <c r="C5" s="56" t="str">
        <f aca="false">IF(G5="","",CHOOSE(WEEKDAY(B5,2),"lunedì","martedì","mercoledì","giovedì","venerdì","sabato","domenica"))</f>
        <v/>
      </c>
      <c r="D5" s="56" t="str">
        <f aca="false">IF(G5="","",IF(INDEX(Giorni!$I$2:$I$367,G5)="A","Assenza","Giustificata"))</f>
        <v/>
      </c>
      <c r="E5" s="56" t="str">
        <f aca="false">IF(G5="","",IF(INDEX(Giorni!$F$2:$F$367,G5)=1,"Sì","No"))</f>
        <v/>
      </c>
      <c r="F5" s="56" t="str">
        <f aca="false">IF(G5="","",IF(E5="Sì",IF(D5="Giustificata","Conta come presenza",""),IF(INDEX(Giorni!$D$2:$D$367,G5)=1,"Festività: non conta",IF(INDEX(Giorni!$E$2:$E$367,G5)=1,"Chiusura: non conta","Fuori periodo: non conta"))))</f>
        <v/>
      </c>
      <c r="G5" s="0" t="str">
        <f aca="false">IFERROR(MATCH(1,Giorni!$N$2:$N$367,0),"")</f>
        <v/>
      </c>
    </row>
    <row r="6" customFormat="false" ht="15" hidden="false" customHeight="false" outlineLevel="0" collapsed="false">
      <c r="A6" s="58" t="str">
        <f aca="false">IF(G6="","",2)</f>
        <v/>
      </c>
      <c r="B6" s="59" t="str">
        <f aca="false">IF(G6="","",INDEX(Giorni!$A$2:$A$367,G6))</f>
        <v/>
      </c>
      <c r="C6" s="58" t="str">
        <f aca="false">IF(G6="","",CHOOSE(WEEKDAY(B6,2),"lunedì","martedì","mercoledì","giovedì","venerdì","sabato","domenica"))</f>
        <v/>
      </c>
      <c r="D6" s="58" t="str">
        <f aca="false">IF(G6="","",IF(INDEX(Giorni!$I$2:$I$367,G6)="A","Assenza","Giustificata"))</f>
        <v/>
      </c>
      <c r="E6" s="58" t="str">
        <f aca="false">IF(G6="","",IF(INDEX(Giorni!$F$2:$F$367,G6)=1,"Sì","No"))</f>
        <v/>
      </c>
      <c r="F6" s="58" t="str">
        <f aca="false">IF(G6="","",IF(E6="Sì",IF(D6="Giustificata","Conta come presenza",""),IF(INDEX(Giorni!$D$2:$D$367,G6)=1,"Festività: non conta",IF(INDEX(Giorni!$E$2:$E$367,G6)=1,"Chiusura: non conta","Fuori periodo: non conta"))))</f>
        <v/>
      </c>
      <c r="G6" s="0" t="str">
        <f aca="false">IFERROR(MATCH(2,Giorni!$N$2:$N$367,0),"")</f>
        <v/>
      </c>
    </row>
    <row r="7" customFormat="false" ht="15" hidden="false" customHeight="false" outlineLevel="0" collapsed="false">
      <c r="A7" s="56" t="str">
        <f aca="false">IF(G7="","",3)</f>
        <v/>
      </c>
      <c r="B7" s="57" t="str">
        <f aca="false">IF(G7="","",INDEX(Giorni!$A$2:$A$367,G7))</f>
        <v/>
      </c>
      <c r="C7" s="56" t="str">
        <f aca="false">IF(G7="","",CHOOSE(WEEKDAY(B7,2),"lunedì","martedì","mercoledì","giovedì","venerdì","sabato","domenica"))</f>
        <v/>
      </c>
      <c r="D7" s="56" t="str">
        <f aca="false">IF(G7="","",IF(INDEX(Giorni!$I$2:$I$367,G7)="A","Assenza","Giustificata"))</f>
        <v/>
      </c>
      <c r="E7" s="56" t="str">
        <f aca="false">IF(G7="","",IF(INDEX(Giorni!$F$2:$F$367,G7)=1,"Sì","No"))</f>
        <v/>
      </c>
      <c r="F7" s="56" t="str">
        <f aca="false">IF(G7="","",IF(E7="Sì",IF(D7="Giustificata","Conta come presenza",""),IF(INDEX(Giorni!$D$2:$D$367,G7)=1,"Festività: non conta",IF(INDEX(Giorni!$E$2:$E$367,G7)=1,"Chiusura: non conta","Fuori periodo: non conta"))))</f>
        <v/>
      </c>
      <c r="G7" s="0" t="str">
        <f aca="false">IFERROR(MATCH(3,Giorni!$N$2:$N$367,0),"")</f>
        <v/>
      </c>
    </row>
    <row r="8" customFormat="false" ht="15" hidden="false" customHeight="false" outlineLevel="0" collapsed="false">
      <c r="A8" s="58" t="str">
        <f aca="false">IF(G8="","",4)</f>
        <v/>
      </c>
      <c r="B8" s="59" t="str">
        <f aca="false">IF(G8="","",INDEX(Giorni!$A$2:$A$367,G8))</f>
        <v/>
      </c>
      <c r="C8" s="58" t="str">
        <f aca="false">IF(G8="","",CHOOSE(WEEKDAY(B8,2),"lunedì","martedì","mercoledì","giovedì","venerdì","sabato","domenica"))</f>
        <v/>
      </c>
      <c r="D8" s="58" t="str">
        <f aca="false">IF(G8="","",IF(INDEX(Giorni!$I$2:$I$367,G8)="A","Assenza","Giustificata"))</f>
        <v/>
      </c>
      <c r="E8" s="58" t="str">
        <f aca="false">IF(G8="","",IF(INDEX(Giorni!$F$2:$F$367,G8)=1,"Sì","No"))</f>
        <v/>
      </c>
      <c r="F8" s="58" t="str">
        <f aca="false">IF(G8="","",IF(E8="Sì",IF(D8="Giustificata","Conta come presenza",""),IF(INDEX(Giorni!$D$2:$D$367,G8)=1,"Festività: non conta",IF(INDEX(Giorni!$E$2:$E$367,G8)=1,"Chiusura: non conta","Fuori periodo: non conta"))))</f>
        <v/>
      </c>
      <c r="G8" s="0" t="str">
        <f aca="false">IFERROR(MATCH(4,Giorni!$N$2:$N$367,0),"")</f>
        <v/>
      </c>
    </row>
    <row r="9" customFormat="false" ht="15" hidden="false" customHeight="false" outlineLevel="0" collapsed="false">
      <c r="A9" s="56" t="str">
        <f aca="false">IF(G9="","",5)</f>
        <v/>
      </c>
      <c r="B9" s="57" t="str">
        <f aca="false">IF(G9="","",INDEX(Giorni!$A$2:$A$367,G9))</f>
        <v/>
      </c>
      <c r="C9" s="56" t="str">
        <f aca="false">IF(G9="","",CHOOSE(WEEKDAY(B9,2),"lunedì","martedì","mercoledì","giovedì","venerdì","sabato","domenica"))</f>
        <v/>
      </c>
      <c r="D9" s="56" t="str">
        <f aca="false">IF(G9="","",IF(INDEX(Giorni!$I$2:$I$367,G9)="A","Assenza","Giustificata"))</f>
        <v/>
      </c>
      <c r="E9" s="56" t="str">
        <f aca="false">IF(G9="","",IF(INDEX(Giorni!$F$2:$F$367,G9)=1,"Sì","No"))</f>
        <v/>
      </c>
      <c r="F9" s="56" t="str">
        <f aca="false">IF(G9="","",IF(E9="Sì",IF(D9="Giustificata","Conta come presenza",""),IF(INDEX(Giorni!$D$2:$D$367,G9)=1,"Festività: non conta",IF(INDEX(Giorni!$E$2:$E$367,G9)=1,"Chiusura: non conta","Fuori periodo: non conta"))))</f>
        <v/>
      </c>
      <c r="G9" s="0" t="str">
        <f aca="false">IFERROR(MATCH(5,Giorni!$N$2:$N$367,0),"")</f>
        <v/>
      </c>
    </row>
    <row r="10" customFormat="false" ht="15" hidden="false" customHeight="false" outlineLevel="0" collapsed="false">
      <c r="A10" s="58" t="str">
        <f aca="false">IF(G10="","",6)</f>
        <v/>
      </c>
      <c r="B10" s="59" t="str">
        <f aca="false">IF(G10="","",INDEX(Giorni!$A$2:$A$367,G10))</f>
        <v/>
      </c>
      <c r="C10" s="58" t="str">
        <f aca="false">IF(G10="","",CHOOSE(WEEKDAY(B10,2),"lunedì","martedì","mercoledì","giovedì","venerdì","sabato","domenica"))</f>
        <v/>
      </c>
      <c r="D10" s="58" t="str">
        <f aca="false">IF(G10="","",IF(INDEX(Giorni!$I$2:$I$367,G10)="A","Assenza","Giustificata"))</f>
        <v/>
      </c>
      <c r="E10" s="58" t="str">
        <f aca="false">IF(G10="","",IF(INDEX(Giorni!$F$2:$F$367,G10)=1,"Sì","No"))</f>
        <v/>
      </c>
      <c r="F10" s="58" t="str">
        <f aca="false">IF(G10="","",IF(E10="Sì",IF(D10="Giustificata","Conta come presenza",""),IF(INDEX(Giorni!$D$2:$D$367,G10)=1,"Festività: non conta",IF(INDEX(Giorni!$E$2:$E$367,G10)=1,"Chiusura: non conta","Fuori periodo: non conta"))))</f>
        <v/>
      </c>
      <c r="G10" s="0" t="str">
        <f aca="false">IFERROR(MATCH(6,Giorni!$N$2:$N$367,0),"")</f>
        <v/>
      </c>
    </row>
    <row r="11" customFormat="false" ht="15" hidden="false" customHeight="false" outlineLevel="0" collapsed="false">
      <c r="A11" s="56" t="str">
        <f aca="false">IF(G11="","",7)</f>
        <v/>
      </c>
      <c r="B11" s="57" t="str">
        <f aca="false">IF(G11="","",INDEX(Giorni!$A$2:$A$367,G11))</f>
        <v/>
      </c>
      <c r="C11" s="56" t="str">
        <f aca="false">IF(G11="","",CHOOSE(WEEKDAY(B11,2),"lunedì","martedì","mercoledì","giovedì","venerdì","sabato","domenica"))</f>
        <v/>
      </c>
      <c r="D11" s="56" t="str">
        <f aca="false">IF(G11="","",IF(INDEX(Giorni!$I$2:$I$367,G11)="A","Assenza","Giustificata"))</f>
        <v/>
      </c>
      <c r="E11" s="56" t="str">
        <f aca="false">IF(G11="","",IF(INDEX(Giorni!$F$2:$F$367,G11)=1,"Sì","No"))</f>
        <v/>
      </c>
      <c r="F11" s="56" t="str">
        <f aca="false">IF(G11="","",IF(E11="Sì",IF(D11="Giustificata","Conta come presenza",""),IF(INDEX(Giorni!$D$2:$D$367,G11)=1,"Festività: non conta",IF(INDEX(Giorni!$E$2:$E$367,G11)=1,"Chiusura: non conta","Fuori periodo: non conta"))))</f>
        <v/>
      </c>
      <c r="G11" s="0" t="str">
        <f aca="false">IFERROR(MATCH(7,Giorni!$N$2:$N$367,0),"")</f>
        <v/>
      </c>
    </row>
    <row r="12" customFormat="false" ht="15" hidden="false" customHeight="false" outlineLevel="0" collapsed="false">
      <c r="A12" s="58" t="str">
        <f aca="false">IF(G12="","",8)</f>
        <v/>
      </c>
      <c r="B12" s="59" t="str">
        <f aca="false">IF(G12="","",INDEX(Giorni!$A$2:$A$367,G12))</f>
        <v/>
      </c>
      <c r="C12" s="58" t="str">
        <f aca="false">IF(G12="","",CHOOSE(WEEKDAY(B12,2),"lunedì","martedì","mercoledì","giovedì","venerdì","sabato","domenica"))</f>
        <v/>
      </c>
      <c r="D12" s="58" t="str">
        <f aca="false">IF(G12="","",IF(INDEX(Giorni!$I$2:$I$367,G12)="A","Assenza","Giustificata"))</f>
        <v/>
      </c>
      <c r="E12" s="58" t="str">
        <f aca="false">IF(G12="","",IF(INDEX(Giorni!$F$2:$F$367,G12)=1,"Sì","No"))</f>
        <v/>
      </c>
      <c r="F12" s="58" t="str">
        <f aca="false">IF(G12="","",IF(E12="Sì",IF(D12="Giustificata","Conta come presenza",""),IF(INDEX(Giorni!$D$2:$D$367,G12)=1,"Festività: non conta",IF(INDEX(Giorni!$E$2:$E$367,G12)=1,"Chiusura: non conta","Fuori periodo: non conta"))))</f>
        <v/>
      </c>
      <c r="G12" s="0" t="str">
        <f aca="false">IFERROR(MATCH(8,Giorni!$N$2:$N$367,0),"")</f>
        <v/>
      </c>
    </row>
    <row r="13" customFormat="false" ht="15" hidden="false" customHeight="false" outlineLevel="0" collapsed="false">
      <c r="A13" s="56" t="str">
        <f aca="false">IF(G13="","",9)</f>
        <v/>
      </c>
      <c r="B13" s="57" t="str">
        <f aca="false">IF(G13="","",INDEX(Giorni!$A$2:$A$367,G13))</f>
        <v/>
      </c>
      <c r="C13" s="56" t="str">
        <f aca="false">IF(G13="","",CHOOSE(WEEKDAY(B13,2),"lunedì","martedì","mercoledì","giovedì","venerdì","sabato","domenica"))</f>
        <v/>
      </c>
      <c r="D13" s="56" t="str">
        <f aca="false">IF(G13="","",IF(INDEX(Giorni!$I$2:$I$367,G13)="A","Assenza","Giustificata"))</f>
        <v/>
      </c>
      <c r="E13" s="56" t="str">
        <f aca="false">IF(G13="","",IF(INDEX(Giorni!$F$2:$F$367,G13)=1,"Sì","No"))</f>
        <v/>
      </c>
      <c r="F13" s="56" t="str">
        <f aca="false">IF(G13="","",IF(E13="Sì",IF(D13="Giustificata","Conta come presenza",""),IF(INDEX(Giorni!$D$2:$D$367,G13)=1,"Festività: non conta",IF(INDEX(Giorni!$E$2:$E$367,G13)=1,"Chiusura: non conta","Fuori periodo: non conta"))))</f>
        <v/>
      </c>
      <c r="G13" s="0" t="str">
        <f aca="false">IFERROR(MATCH(9,Giorni!$N$2:$N$367,0),"")</f>
        <v/>
      </c>
    </row>
    <row r="14" customFormat="false" ht="15" hidden="false" customHeight="false" outlineLevel="0" collapsed="false">
      <c r="A14" s="58" t="str">
        <f aca="false">IF(G14="","",10)</f>
        <v/>
      </c>
      <c r="B14" s="59" t="str">
        <f aca="false">IF(G14="","",INDEX(Giorni!$A$2:$A$367,G14))</f>
        <v/>
      </c>
      <c r="C14" s="58" t="str">
        <f aca="false">IF(G14="","",CHOOSE(WEEKDAY(B14,2),"lunedì","martedì","mercoledì","giovedì","venerdì","sabato","domenica"))</f>
        <v/>
      </c>
      <c r="D14" s="58" t="str">
        <f aca="false">IF(G14="","",IF(INDEX(Giorni!$I$2:$I$367,G14)="A","Assenza","Giustificata"))</f>
        <v/>
      </c>
      <c r="E14" s="58" t="str">
        <f aca="false">IF(G14="","",IF(INDEX(Giorni!$F$2:$F$367,G14)=1,"Sì","No"))</f>
        <v/>
      </c>
      <c r="F14" s="58" t="str">
        <f aca="false">IF(G14="","",IF(E14="Sì",IF(D14="Giustificata","Conta come presenza",""),IF(INDEX(Giorni!$D$2:$D$367,G14)=1,"Festività: non conta",IF(INDEX(Giorni!$E$2:$E$367,G14)=1,"Chiusura: non conta","Fuori periodo: non conta"))))</f>
        <v/>
      </c>
      <c r="G14" s="0" t="str">
        <f aca="false">IFERROR(MATCH(10,Giorni!$N$2:$N$367,0),"")</f>
        <v/>
      </c>
    </row>
    <row r="15" customFormat="false" ht="15" hidden="false" customHeight="false" outlineLevel="0" collapsed="false">
      <c r="A15" s="56" t="str">
        <f aca="false">IF(G15="","",11)</f>
        <v/>
      </c>
      <c r="B15" s="57" t="str">
        <f aca="false">IF(G15="","",INDEX(Giorni!$A$2:$A$367,G15))</f>
        <v/>
      </c>
      <c r="C15" s="56" t="str">
        <f aca="false">IF(G15="","",CHOOSE(WEEKDAY(B15,2),"lunedì","martedì","mercoledì","giovedì","venerdì","sabato","domenica"))</f>
        <v/>
      </c>
      <c r="D15" s="56" t="str">
        <f aca="false">IF(G15="","",IF(INDEX(Giorni!$I$2:$I$367,G15)="A","Assenza","Giustificata"))</f>
        <v/>
      </c>
      <c r="E15" s="56" t="str">
        <f aca="false">IF(G15="","",IF(INDEX(Giorni!$F$2:$F$367,G15)=1,"Sì","No"))</f>
        <v/>
      </c>
      <c r="F15" s="56" t="str">
        <f aca="false">IF(G15="","",IF(E15="Sì",IF(D15="Giustificata","Conta come presenza",""),IF(INDEX(Giorni!$D$2:$D$367,G15)=1,"Festività: non conta",IF(INDEX(Giorni!$E$2:$E$367,G15)=1,"Chiusura: non conta","Fuori periodo: non conta"))))</f>
        <v/>
      </c>
      <c r="G15" s="0" t="str">
        <f aca="false">IFERROR(MATCH(11,Giorni!$N$2:$N$367,0),"")</f>
        <v/>
      </c>
    </row>
    <row r="16" customFormat="false" ht="15" hidden="false" customHeight="false" outlineLevel="0" collapsed="false">
      <c r="A16" s="58" t="str">
        <f aca="false">IF(G16="","",12)</f>
        <v/>
      </c>
      <c r="B16" s="59" t="str">
        <f aca="false">IF(G16="","",INDEX(Giorni!$A$2:$A$367,G16))</f>
        <v/>
      </c>
      <c r="C16" s="58" t="str">
        <f aca="false">IF(G16="","",CHOOSE(WEEKDAY(B16,2),"lunedì","martedì","mercoledì","giovedì","venerdì","sabato","domenica"))</f>
        <v/>
      </c>
      <c r="D16" s="58" t="str">
        <f aca="false">IF(G16="","",IF(INDEX(Giorni!$I$2:$I$367,G16)="A","Assenza","Giustificata"))</f>
        <v/>
      </c>
      <c r="E16" s="58" t="str">
        <f aca="false">IF(G16="","",IF(INDEX(Giorni!$F$2:$F$367,G16)=1,"Sì","No"))</f>
        <v/>
      </c>
      <c r="F16" s="58" t="str">
        <f aca="false">IF(G16="","",IF(E16="Sì",IF(D16="Giustificata","Conta come presenza",""),IF(INDEX(Giorni!$D$2:$D$367,G16)=1,"Festività: non conta",IF(INDEX(Giorni!$E$2:$E$367,G16)=1,"Chiusura: non conta","Fuori periodo: non conta"))))</f>
        <v/>
      </c>
      <c r="G16" s="0" t="str">
        <f aca="false">IFERROR(MATCH(12,Giorni!$N$2:$N$367,0),"")</f>
        <v/>
      </c>
    </row>
    <row r="17" customFormat="false" ht="15" hidden="false" customHeight="false" outlineLevel="0" collapsed="false">
      <c r="A17" s="56" t="str">
        <f aca="false">IF(G17="","",13)</f>
        <v/>
      </c>
      <c r="B17" s="57" t="str">
        <f aca="false">IF(G17="","",INDEX(Giorni!$A$2:$A$367,G17))</f>
        <v/>
      </c>
      <c r="C17" s="56" t="str">
        <f aca="false">IF(G17="","",CHOOSE(WEEKDAY(B17,2),"lunedì","martedì","mercoledì","giovedì","venerdì","sabato","domenica"))</f>
        <v/>
      </c>
      <c r="D17" s="56" t="str">
        <f aca="false">IF(G17="","",IF(INDEX(Giorni!$I$2:$I$367,G17)="A","Assenza","Giustificata"))</f>
        <v/>
      </c>
      <c r="E17" s="56" t="str">
        <f aca="false">IF(G17="","",IF(INDEX(Giorni!$F$2:$F$367,G17)=1,"Sì","No"))</f>
        <v/>
      </c>
      <c r="F17" s="56" t="str">
        <f aca="false">IF(G17="","",IF(E17="Sì",IF(D17="Giustificata","Conta come presenza",""),IF(INDEX(Giorni!$D$2:$D$367,G17)=1,"Festività: non conta",IF(INDEX(Giorni!$E$2:$E$367,G17)=1,"Chiusura: non conta","Fuori periodo: non conta"))))</f>
        <v/>
      </c>
      <c r="G17" s="0" t="str">
        <f aca="false">IFERROR(MATCH(13,Giorni!$N$2:$N$367,0),"")</f>
        <v/>
      </c>
    </row>
    <row r="18" customFormat="false" ht="15" hidden="false" customHeight="false" outlineLevel="0" collapsed="false">
      <c r="A18" s="58" t="str">
        <f aca="false">IF(G18="","",14)</f>
        <v/>
      </c>
      <c r="B18" s="59" t="str">
        <f aca="false">IF(G18="","",INDEX(Giorni!$A$2:$A$367,G18))</f>
        <v/>
      </c>
      <c r="C18" s="58" t="str">
        <f aca="false">IF(G18="","",CHOOSE(WEEKDAY(B18,2),"lunedì","martedì","mercoledì","giovedì","venerdì","sabato","domenica"))</f>
        <v/>
      </c>
      <c r="D18" s="58" t="str">
        <f aca="false">IF(G18="","",IF(INDEX(Giorni!$I$2:$I$367,G18)="A","Assenza","Giustificata"))</f>
        <v/>
      </c>
      <c r="E18" s="58" t="str">
        <f aca="false">IF(G18="","",IF(INDEX(Giorni!$F$2:$F$367,G18)=1,"Sì","No"))</f>
        <v/>
      </c>
      <c r="F18" s="58" t="str">
        <f aca="false">IF(G18="","",IF(E18="Sì",IF(D18="Giustificata","Conta come presenza",""),IF(INDEX(Giorni!$D$2:$D$367,G18)=1,"Festività: non conta",IF(INDEX(Giorni!$E$2:$E$367,G18)=1,"Chiusura: non conta","Fuori periodo: non conta"))))</f>
        <v/>
      </c>
      <c r="G18" s="0" t="str">
        <f aca="false">IFERROR(MATCH(14,Giorni!$N$2:$N$367,0),"")</f>
        <v/>
      </c>
    </row>
    <row r="19" customFormat="false" ht="15" hidden="false" customHeight="false" outlineLevel="0" collapsed="false">
      <c r="A19" s="56" t="str">
        <f aca="false">IF(G19="","",15)</f>
        <v/>
      </c>
      <c r="B19" s="57" t="str">
        <f aca="false">IF(G19="","",INDEX(Giorni!$A$2:$A$367,G19))</f>
        <v/>
      </c>
      <c r="C19" s="56" t="str">
        <f aca="false">IF(G19="","",CHOOSE(WEEKDAY(B19,2),"lunedì","martedì","mercoledì","giovedì","venerdì","sabato","domenica"))</f>
        <v/>
      </c>
      <c r="D19" s="56" t="str">
        <f aca="false">IF(G19="","",IF(INDEX(Giorni!$I$2:$I$367,G19)="A","Assenza","Giustificata"))</f>
        <v/>
      </c>
      <c r="E19" s="56" t="str">
        <f aca="false">IF(G19="","",IF(INDEX(Giorni!$F$2:$F$367,G19)=1,"Sì","No"))</f>
        <v/>
      </c>
      <c r="F19" s="56" t="str">
        <f aca="false">IF(G19="","",IF(E19="Sì",IF(D19="Giustificata","Conta come presenza",""),IF(INDEX(Giorni!$D$2:$D$367,G19)=1,"Festività: non conta",IF(INDEX(Giorni!$E$2:$E$367,G19)=1,"Chiusura: non conta","Fuori periodo: non conta"))))</f>
        <v/>
      </c>
      <c r="G19" s="0" t="str">
        <f aca="false">IFERROR(MATCH(15,Giorni!$N$2:$N$367,0),"")</f>
        <v/>
      </c>
    </row>
    <row r="20" customFormat="false" ht="15" hidden="false" customHeight="false" outlineLevel="0" collapsed="false">
      <c r="A20" s="58" t="str">
        <f aca="false">IF(G20="","",16)</f>
        <v/>
      </c>
      <c r="B20" s="59" t="str">
        <f aca="false">IF(G20="","",INDEX(Giorni!$A$2:$A$367,G20))</f>
        <v/>
      </c>
      <c r="C20" s="58" t="str">
        <f aca="false">IF(G20="","",CHOOSE(WEEKDAY(B20,2),"lunedì","martedì","mercoledì","giovedì","venerdì","sabato","domenica"))</f>
        <v/>
      </c>
      <c r="D20" s="58" t="str">
        <f aca="false">IF(G20="","",IF(INDEX(Giorni!$I$2:$I$367,G20)="A","Assenza","Giustificata"))</f>
        <v/>
      </c>
      <c r="E20" s="58" t="str">
        <f aca="false">IF(G20="","",IF(INDEX(Giorni!$F$2:$F$367,G20)=1,"Sì","No"))</f>
        <v/>
      </c>
      <c r="F20" s="58" t="str">
        <f aca="false">IF(G20="","",IF(E20="Sì",IF(D20="Giustificata","Conta come presenza",""),IF(INDEX(Giorni!$D$2:$D$367,G20)=1,"Festività: non conta",IF(INDEX(Giorni!$E$2:$E$367,G20)=1,"Chiusura: non conta","Fuori periodo: non conta"))))</f>
        <v/>
      </c>
      <c r="G20" s="0" t="str">
        <f aca="false">IFERROR(MATCH(16,Giorni!$N$2:$N$367,0),"")</f>
        <v/>
      </c>
    </row>
    <row r="21" customFormat="false" ht="15" hidden="false" customHeight="false" outlineLevel="0" collapsed="false">
      <c r="A21" s="56" t="str">
        <f aca="false">IF(G21="","",17)</f>
        <v/>
      </c>
      <c r="B21" s="57" t="str">
        <f aca="false">IF(G21="","",INDEX(Giorni!$A$2:$A$367,G21))</f>
        <v/>
      </c>
      <c r="C21" s="56" t="str">
        <f aca="false">IF(G21="","",CHOOSE(WEEKDAY(B21,2),"lunedì","martedì","mercoledì","giovedì","venerdì","sabato","domenica"))</f>
        <v/>
      </c>
      <c r="D21" s="56" t="str">
        <f aca="false">IF(G21="","",IF(INDEX(Giorni!$I$2:$I$367,G21)="A","Assenza","Giustificata"))</f>
        <v/>
      </c>
      <c r="E21" s="56" t="str">
        <f aca="false">IF(G21="","",IF(INDEX(Giorni!$F$2:$F$367,G21)=1,"Sì","No"))</f>
        <v/>
      </c>
      <c r="F21" s="56" t="str">
        <f aca="false">IF(G21="","",IF(E21="Sì",IF(D21="Giustificata","Conta come presenza",""),IF(INDEX(Giorni!$D$2:$D$367,G21)=1,"Festività: non conta",IF(INDEX(Giorni!$E$2:$E$367,G21)=1,"Chiusura: non conta","Fuori periodo: non conta"))))</f>
        <v/>
      </c>
      <c r="G21" s="0" t="str">
        <f aca="false">IFERROR(MATCH(17,Giorni!$N$2:$N$367,0),"")</f>
        <v/>
      </c>
    </row>
    <row r="22" customFormat="false" ht="15" hidden="false" customHeight="false" outlineLevel="0" collapsed="false">
      <c r="A22" s="58" t="str">
        <f aca="false">IF(G22="","",18)</f>
        <v/>
      </c>
      <c r="B22" s="59" t="str">
        <f aca="false">IF(G22="","",INDEX(Giorni!$A$2:$A$367,G22))</f>
        <v/>
      </c>
      <c r="C22" s="58" t="str">
        <f aca="false">IF(G22="","",CHOOSE(WEEKDAY(B22,2),"lunedì","martedì","mercoledì","giovedì","venerdì","sabato","domenica"))</f>
        <v/>
      </c>
      <c r="D22" s="58" t="str">
        <f aca="false">IF(G22="","",IF(INDEX(Giorni!$I$2:$I$367,G22)="A","Assenza","Giustificata"))</f>
        <v/>
      </c>
      <c r="E22" s="58" t="str">
        <f aca="false">IF(G22="","",IF(INDEX(Giorni!$F$2:$F$367,G22)=1,"Sì","No"))</f>
        <v/>
      </c>
      <c r="F22" s="58" t="str">
        <f aca="false">IF(G22="","",IF(E22="Sì",IF(D22="Giustificata","Conta come presenza",""),IF(INDEX(Giorni!$D$2:$D$367,G22)=1,"Festività: non conta",IF(INDEX(Giorni!$E$2:$E$367,G22)=1,"Chiusura: non conta","Fuori periodo: non conta"))))</f>
        <v/>
      </c>
      <c r="G22" s="0" t="str">
        <f aca="false">IFERROR(MATCH(18,Giorni!$N$2:$N$367,0),"")</f>
        <v/>
      </c>
    </row>
    <row r="23" customFormat="false" ht="15" hidden="false" customHeight="false" outlineLevel="0" collapsed="false">
      <c r="A23" s="56" t="str">
        <f aca="false">IF(G23="","",19)</f>
        <v/>
      </c>
      <c r="B23" s="57" t="str">
        <f aca="false">IF(G23="","",INDEX(Giorni!$A$2:$A$367,G23))</f>
        <v/>
      </c>
      <c r="C23" s="56" t="str">
        <f aca="false">IF(G23="","",CHOOSE(WEEKDAY(B23,2),"lunedì","martedì","mercoledì","giovedì","venerdì","sabato","domenica"))</f>
        <v/>
      </c>
      <c r="D23" s="56" t="str">
        <f aca="false">IF(G23="","",IF(INDEX(Giorni!$I$2:$I$367,G23)="A","Assenza","Giustificata"))</f>
        <v/>
      </c>
      <c r="E23" s="56" t="str">
        <f aca="false">IF(G23="","",IF(INDEX(Giorni!$F$2:$F$367,G23)=1,"Sì","No"))</f>
        <v/>
      </c>
      <c r="F23" s="56" t="str">
        <f aca="false">IF(G23="","",IF(E23="Sì",IF(D23="Giustificata","Conta come presenza",""),IF(INDEX(Giorni!$D$2:$D$367,G23)=1,"Festività: non conta",IF(INDEX(Giorni!$E$2:$E$367,G23)=1,"Chiusura: non conta","Fuori periodo: non conta"))))</f>
        <v/>
      </c>
      <c r="G23" s="0" t="str">
        <f aca="false">IFERROR(MATCH(19,Giorni!$N$2:$N$367,0),"")</f>
        <v/>
      </c>
    </row>
    <row r="24" customFormat="false" ht="15" hidden="false" customHeight="false" outlineLevel="0" collapsed="false">
      <c r="A24" s="58" t="str">
        <f aca="false">IF(G24="","",20)</f>
        <v/>
      </c>
      <c r="B24" s="59" t="str">
        <f aca="false">IF(G24="","",INDEX(Giorni!$A$2:$A$367,G24))</f>
        <v/>
      </c>
      <c r="C24" s="58" t="str">
        <f aca="false">IF(G24="","",CHOOSE(WEEKDAY(B24,2),"lunedì","martedì","mercoledì","giovedì","venerdì","sabato","domenica"))</f>
        <v/>
      </c>
      <c r="D24" s="58" t="str">
        <f aca="false">IF(G24="","",IF(INDEX(Giorni!$I$2:$I$367,G24)="A","Assenza","Giustificata"))</f>
        <v/>
      </c>
      <c r="E24" s="58" t="str">
        <f aca="false">IF(G24="","",IF(INDEX(Giorni!$F$2:$F$367,G24)=1,"Sì","No"))</f>
        <v/>
      </c>
      <c r="F24" s="58" t="str">
        <f aca="false">IF(G24="","",IF(E24="Sì",IF(D24="Giustificata","Conta come presenza",""),IF(INDEX(Giorni!$D$2:$D$367,G24)=1,"Festività: non conta",IF(INDEX(Giorni!$E$2:$E$367,G24)=1,"Chiusura: non conta","Fuori periodo: non conta"))))</f>
        <v/>
      </c>
      <c r="G24" s="0" t="str">
        <f aca="false">IFERROR(MATCH(20,Giorni!$N$2:$N$367,0),"")</f>
        <v/>
      </c>
    </row>
    <row r="25" customFormat="false" ht="15" hidden="false" customHeight="false" outlineLevel="0" collapsed="false">
      <c r="A25" s="56" t="str">
        <f aca="false">IF(G25="","",21)</f>
        <v/>
      </c>
      <c r="B25" s="57" t="str">
        <f aca="false">IF(G25="","",INDEX(Giorni!$A$2:$A$367,G25))</f>
        <v/>
      </c>
      <c r="C25" s="56" t="str">
        <f aca="false">IF(G25="","",CHOOSE(WEEKDAY(B25,2),"lunedì","martedì","mercoledì","giovedì","venerdì","sabato","domenica"))</f>
        <v/>
      </c>
      <c r="D25" s="56" t="str">
        <f aca="false">IF(G25="","",IF(INDEX(Giorni!$I$2:$I$367,G25)="A","Assenza","Giustificata"))</f>
        <v/>
      </c>
      <c r="E25" s="56" t="str">
        <f aca="false">IF(G25="","",IF(INDEX(Giorni!$F$2:$F$367,G25)=1,"Sì","No"))</f>
        <v/>
      </c>
      <c r="F25" s="56" t="str">
        <f aca="false">IF(G25="","",IF(E25="Sì",IF(D25="Giustificata","Conta come presenza",""),IF(INDEX(Giorni!$D$2:$D$367,G25)=1,"Festività: non conta",IF(INDEX(Giorni!$E$2:$E$367,G25)=1,"Chiusura: non conta","Fuori periodo: non conta"))))</f>
        <v/>
      </c>
      <c r="G25" s="0" t="str">
        <f aca="false">IFERROR(MATCH(21,Giorni!$N$2:$N$367,0),"")</f>
        <v/>
      </c>
    </row>
    <row r="26" customFormat="false" ht="15" hidden="false" customHeight="false" outlineLevel="0" collapsed="false">
      <c r="A26" s="58" t="str">
        <f aca="false">IF(G26="","",22)</f>
        <v/>
      </c>
      <c r="B26" s="59" t="str">
        <f aca="false">IF(G26="","",INDEX(Giorni!$A$2:$A$367,G26))</f>
        <v/>
      </c>
      <c r="C26" s="58" t="str">
        <f aca="false">IF(G26="","",CHOOSE(WEEKDAY(B26,2),"lunedì","martedì","mercoledì","giovedì","venerdì","sabato","domenica"))</f>
        <v/>
      </c>
      <c r="D26" s="58" t="str">
        <f aca="false">IF(G26="","",IF(INDEX(Giorni!$I$2:$I$367,G26)="A","Assenza","Giustificata"))</f>
        <v/>
      </c>
      <c r="E26" s="58" t="str">
        <f aca="false">IF(G26="","",IF(INDEX(Giorni!$F$2:$F$367,G26)=1,"Sì","No"))</f>
        <v/>
      </c>
      <c r="F26" s="58" t="str">
        <f aca="false">IF(G26="","",IF(E26="Sì",IF(D26="Giustificata","Conta come presenza",""),IF(INDEX(Giorni!$D$2:$D$367,G26)=1,"Festività: non conta",IF(INDEX(Giorni!$E$2:$E$367,G26)=1,"Chiusura: non conta","Fuori periodo: non conta"))))</f>
        <v/>
      </c>
      <c r="G26" s="0" t="str">
        <f aca="false">IFERROR(MATCH(22,Giorni!$N$2:$N$367,0),"")</f>
        <v/>
      </c>
    </row>
    <row r="27" customFormat="false" ht="15" hidden="false" customHeight="false" outlineLevel="0" collapsed="false">
      <c r="A27" s="56" t="str">
        <f aca="false">IF(G27="","",23)</f>
        <v/>
      </c>
      <c r="B27" s="57" t="str">
        <f aca="false">IF(G27="","",INDEX(Giorni!$A$2:$A$367,G27))</f>
        <v/>
      </c>
      <c r="C27" s="56" t="str">
        <f aca="false">IF(G27="","",CHOOSE(WEEKDAY(B27,2),"lunedì","martedì","mercoledì","giovedì","venerdì","sabato","domenica"))</f>
        <v/>
      </c>
      <c r="D27" s="56" t="str">
        <f aca="false">IF(G27="","",IF(INDEX(Giorni!$I$2:$I$367,G27)="A","Assenza","Giustificata"))</f>
        <v/>
      </c>
      <c r="E27" s="56" t="str">
        <f aca="false">IF(G27="","",IF(INDEX(Giorni!$F$2:$F$367,G27)=1,"Sì","No"))</f>
        <v/>
      </c>
      <c r="F27" s="56" t="str">
        <f aca="false">IF(G27="","",IF(E27="Sì",IF(D27="Giustificata","Conta come presenza",""),IF(INDEX(Giorni!$D$2:$D$367,G27)=1,"Festività: non conta",IF(INDEX(Giorni!$E$2:$E$367,G27)=1,"Chiusura: non conta","Fuori periodo: non conta"))))</f>
        <v/>
      </c>
      <c r="G27" s="0" t="str">
        <f aca="false">IFERROR(MATCH(23,Giorni!$N$2:$N$367,0),"")</f>
        <v/>
      </c>
    </row>
    <row r="28" customFormat="false" ht="15" hidden="false" customHeight="false" outlineLevel="0" collapsed="false">
      <c r="A28" s="58" t="str">
        <f aca="false">IF(G28="","",24)</f>
        <v/>
      </c>
      <c r="B28" s="59" t="str">
        <f aca="false">IF(G28="","",INDEX(Giorni!$A$2:$A$367,G28))</f>
        <v/>
      </c>
      <c r="C28" s="58" t="str">
        <f aca="false">IF(G28="","",CHOOSE(WEEKDAY(B28,2),"lunedì","martedì","mercoledì","giovedì","venerdì","sabato","domenica"))</f>
        <v/>
      </c>
      <c r="D28" s="58" t="str">
        <f aca="false">IF(G28="","",IF(INDEX(Giorni!$I$2:$I$367,G28)="A","Assenza","Giustificata"))</f>
        <v/>
      </c>
      <c r="E28" s="58" t="str">
        <f aca="false">IF(G28="","",IF(INDEX(Giorni!$F$2:$F$367,G28)=1,"Sì","No"))</f>
        <v/>
      </c>
      <c r="F28" s="58" t="str">
        <f aca="false">IF(G28="","",IF(E28="Sì",IF(D28="Giustificata","Conta come presenza",""),IF(INDEX(Giorni!$D$2:$D$367,G28)=1,"Festività: non conta",IF(INDEX(Giorni!$E$2:$E$367,G28)=1,"Chiusura: non conta","Fuori periodo: non conta"))))</f>
        <v/>
      </c>
      <c r="G28" s="0" t="str">
        <f aca="false">IFERROR(MATCH(24,Giorni!$N$2:$N$367,0),"")</f>
        <v/>
      </c>
    </row>
    <row r="29" customFormat="false" ht="15" hidden="false" customHeight="false" outlineLevel="0" collapsed="false">
      <c r="A29" s="56" t="str">
        <f aca="false">IF(G29="","",25)</f>
        <v/>
      </c>
      <c r="B29" s="57" t="str">
        <f aca="false">IF(G29="","",INDEX(Giorni!$A$2:$A$367,G29))</f>
        <v/>
      </c>
      <c r="C29" s="56" t="str">
        <f aca="false">IF(G29="","",CHOOSE(WEEKDAY(B29,2),"lunedì","martedì","mercoledì","giovedì","venerdì","sabato","domenica"))</f>
        <v/>
      </c>
      <c r="D29" s="56" t="str">
        <f aca="false">IF(G29="","",IF(INDEX(Giorni!$I$2:$I$367,G29)="A","Assenza","Giustificata"))</f>
        <v/>
      </c>
      <c r="E29" s="56" t="str">
        <f aca="false">IF(G29="","",IF(INDEX(Giorni!$F$2:$F$367,G29)=1,"Sì","No"))</f>
        <v/>
      </c>
      <c r="F29" s="56" t="str">
        <f aca="false">IF(G29="","",IF(E29="Sì",IF(D29="Giustificata","Conta come presenza",""),IF(INDEX(Giorni!$D$2:$D$367,G29)=1,"Festività: non conta",IF(INDEX(Giorni!$E$2:$E$367,G29)=1,"Chiusura: non conta","Fuori periodo: non conta"))))</f>
        <v/>
      </c>
      <c r="G29" s="0" t="str">
        <f aca="false">IFERROR(MATCH(25,Giorni!$N$2:$N$367,0),"")</f>
        <v/>
      </c>
    </row>
    <row r="30" customFormat="false" ht="15" hidden="false" customHeight="false" outlineLevel="0" collapsed="false">
      <c r="A30" s="58" t="str">
        <f aca="false">IF(G30="","",26)</f>
        <v/>
      </c>
      <c r="B30" s="59" t="str">
        <f aca="false">IF(G30="","",INDEX(Giorni!$A$2:$A$367,G30))</f>
        <v/>
      </c>
      <c r="C30" s="58" t="str">
        <f aca="false">IF(G30="","",CHOOSE(WEEKDAY(B30,2),"lunedì","martedì","mercoledì","giovedì","venerdì","sabato","domenica"))</f>
        <v/>
      </c>
      <c r="D30" s="58" t="str">
        <f aca="false">IF(G30="","",IF(INDEX(Giorni!$I$2:$I$367,G30)="A","Assenza","Giustificata"))</f>
        <v/>
      </c>
      <c r="E30" s="58" t="str">
        <f aca="false">IF(G30="","",IF(INDEX(Giorni!$F$2:$F$367,G30)=1,"Sì","No"))</f>
        <v/>
      </c>
      <c r="F30" s="58" t="str">
        <f aca="false">IF(G30="","",IF(E30="Sì",IF(D30="Giustificata","Conta come presenza",""),IF(INDEX(Giorni!$D$2:$D$367,G30)=1,"Festività: non conta",IF(INDEX(Giorni!$E$2:$E$367,G30)=1,"Chiusura: non conta","Fuori periodo: non conta"))))</f>
        <v/>
      </c>
      <c r="G30" s="0" t="str">
        <f aca="false">IFERROR(MATCH(26,Giorni!$N$2:$N$367,0),"")</f>
        <v/>
      </c>
    </row>
    <row r="31" customFormat="false" ht="15" hidden="false" customHeight="false" outlineLevel="0" collapsed="false">
      <c r="A31" s="56" t="str">
        <f aca="false">IF(G31="","",27)</f>
        <v/>
      </c>
      <c r="B31" s="57" t="str">
        <f aca="false">IF(G31="","",INDEX(Giorni!$A$2:$A$367,G31))</f>
        <v/>
      </c>
      <c r="C31" s="56" t="str">
        <f aca="false">IF(G31="","",CHOOSE(WEEKDAY(B31,2),"lunedì","martedì","mercoledì","giovedì","venerdì","sabato","domenica"))</f>
        <v/>
      </c>
      <c r="D31" s="56" t="str">
        <f aca="false">IF(G31="","",IF(INDEX(Giorni!$I$2:$I$367,G31)="A","Assenza","Giustificata"))</f>
        <v/>
      </c>
      <c r="E31" s="56" t="str">
        <f aca="false">IF(G31="","",IF(INDEX(Giorni!$F$2:$F$367,G31)=1,"Sì","No"))</f>
        <v/>
      </c>
      <c r="F31" s="56" t="str">
        <f aca="false">IF(G31="","",IF(E31="Sì",IF(D31="Giustificata","Conta come presenza",""),IF(INDEX(Giorni!$D$2:$D$367,G31)=1,"Festività: non conta",IF(INDEX(Giorni!$E$2:$E$367,G31)=1,"Chiusura: non conta","Fuori periodo: non conta"))))</f>
        <v/>
      </c>
      <c r="G31" s="0" t="str">
        <f aca="false">IFERROR(MATCH(27,Giorni!$N$2:$N$367,0),"")</f>
        <v/>
      </c>
    </row>
    <row r="32" customFormat="false" ht="15" hidden="false" customHeight="false" outlineLevel="0" collapsed="false">
      <c r="A32" s="58" t="str">
        <f aca="false">IF(G32="","",28)</f>
        <v/>
      </c>
      <c r="B32" s="59" t="str">
        <f aca="false">IF(G32="","",INDEX(Giorni!$A$2:$A$367,G32))</f>
        <v/>
      </c>
      <c r="C32" s="58" t="str">
        <f aca="false">IF(G32="","",CHOOSE(WEEKDAY(B32,2),"lunedì","martedì","mercoledì","giovedì","venerdì","sabato","domenica"))</f>
        <v/>
      </c>
      <c r="D32" s="58" t="str">
        <f aca="false">IF(G32="","",IF(INDEX(Giorni!$I$2:$I$367,G32)="A","Assenza","Giustificata"))</f>
        <v/>
      </c>
      <c r="E32" s="58" t="str">
        <f aca="false">IF(G32="","",IF(INDEX(Giorni!$F$2:$F$367,G32)=1,"Sì","No"))</f>
        <v/>
      </c>
      <c r="F32" s="58" t="str">
        <f aca="false">IF(G32="","",IF(E32="Sì",IF(D32="Giustificata","Conta come presenza",""),IF(INDEX(Giorni!$D$2:$D$367,G32)=1,"Festività: non conta",IF(INDEX(Giorni!$E$2:$E$367,G32)=1,"Chiusura: non conta","Fuori periodo: non conta"))))</f>
        <v/>
      </c>
      <c r="G32" s="0" t="str">
        <f aca="false">IFERROR(MATCH(28,Giorni!$N$2:$N$367,0),"")</f>
        <v/>
      </c>
    </row>
    <row r="33" customFormat="false" ht="15" hidden="false" customHeight="false" outlineLevel="0" collapsed="false">
      <c r="A33" s="56" t="str">
        <f aca="false">IF(G33="","",29)</f>
        <v/>
      </c>
      <c r="B33" s="57" t="str">
        <f aca="false">IF(G33="","",INDEX(Giorni!$A$2:$A$367,G33))</f>
        <v/>
      </c>
      <c r="C33" s="56" t="str">
        <f aca="false">IF(G33="","",CHOOSE(WEEKDAY(B33,2),"lunedì","martedì","mercoledì","giovedì","venerdì","sabato","domenica"))</f>
        <v/>
      </c>
      <c r="D33" s="56" t="str">
        <f aca="false">IF(G33="","",IF(INDEX(Giorni!$I$2:$I$367,G33)="A","Assenza","Giustificata"))</f>
        <v/>
      </c>
      <c r="E33" s="56" t="str">
        <f aca="false">IF(G33="","",IF(INDEX(Giorni!$F$2:$F$367,G33)=1,"Sì","No"))</f>
        <v/>
      </c>
      <c r="F33" s="56" t="str">
        <f aca="false">IF(G33="","",IF(E33="Sì",IF(D33="Giustificata","Conta come presenza",""),IF(INDEX(Giorni!$D$2:$D$367,G33)=1,"Festività: non conta",IF(INDEX(Giorni!$E$2:$E$367,G33)=1,"Chiusura: non conta","Fuori periodo: non conta"))))</f>
        <v/>
      </c>
      <c r="G33" s="0" t="str">
        <f aca="false">IFERROR(MATCH(29,Giorni!$N$2:$N$367,0),"")</f>
        <v/>
      </c>
    </row>
    <row r="34" customFormat="false" ht="15" hidden="false" customHeight="false" outlineLevel="0" collapsed="false">
      <c r="A34" s="58" t="str">
        <f aca="false">IF(G34="","",30)</f>
        <v/>
      </c>
      <c r="B34" s="59" t="str">
        <f aca="false">IF(G34="","",INDEX(Giorni!$A$2:$A$367,G34))</f>
        <v/>
      </c>
      <c r="C34" s="58" t="str">
        <f aca="false">IF(G34="","",CHOOSE(WEEKDAY(B34,2),"lunedì","martedì","mercoledì","giovedì","venerdì","sabato","domenica"))</f>
        <v/>
      </c>
      <c r="D34" s="58" t="str">
        <f aca="false">IF(G34="","",IF(INDEX(Giorni!$I$2:$I$367,G34)="A","Assenza","Giustificata"))</f>
        <v/>
      </c>
      <c r="E34" s="58" t="str">
        <f aca="false">IF(G34="","",IF(INDEX(Giorni!$F$2:$F$367,G34)=1,"Sì","No"))</f>
        <v/>
      </c>
      <c r="F34" s="58" t="str">
        <f aca="false">IF(G34="","",IF(E34="Sì",IF(D34="Giustificata","Conta come presenza",""),IF(INDEX(Giorni!$D$2:$D$367,G34)=1,"Festività: non conta",IF(INDEX(Giorni!$E$2:$E$367,G34)=1,"Chiusura: non conta","Fuori periodo: non conta"))))</f>
        <v/>
      </c>
      <c r="G34" s="0" t="str">
        <f aca="false">IFERROR(MATCH(30,Giorni!$N$2:$N$367,0),"")</f>
        <v/>
      </c>
    </row>
    <row r="35" customFormat="false" ht="15" hidden="false" customHeight="false" outlineLevel="0" collapsed="false">
      <c r="A35" s="56" t="str">
        <f aca="false">IF(G35="","",31)</f>
        <v/>
      </c>
      <c r="B35" s="57" t="str">
        <f aca="false">IF(G35="","",INDEX(Giorni!$A$2:$A$367,G35))</f>
        <v/>
      </c>
      <c r="C35" s="56" t="str">
        <f aca="false">IF(G35="","",CHOOSE(WEEKDAY(B35,2),"lunedì","martedì","mercoledì","giovedì","venerdì","sabato","domenica"))</f>
        <v/>
      </c>
      <c r="D35" s="56" t="str">
        <f aca="false">IF(G35="","",IF(INDEX(Giorni!$I$2:$I$367,G35)="A","Assenza","Giustificata"))</f>
        <v/>
      </c>
      <c r="E35" s="56" t="str">
        <f aca="false">IF(G35="","",IF(INDEX(Giorni!$F$2:$F$367,G35)=1,"Sì","No"))</f>
        <v/>
      </c>
      <c r="F35" s="56" t="str">
        <f aca="false">IF(G35="","",IF(E35="Sì",IF(D35="Giustificata","Conta come presenza",""),IF(INDEX(Giorni!$D$2:$D$367,G35)=1,"Festività: non conta",IF(INDEX(Giorni!$E$2:$E$367,G35)=1,"Chiusura: non conta","Fuori periodo: non conta"))))</f>
        <v/>
      </c>
      <c r="G35" s="0" t="str">
        <f aca="false">IFERROR(MATCH(31,Giorni!$N$2:$N$367,0),"")</f>
        <v/>
      </c>
    </row>
    <row r="36" customFormat="false" ht="15" hidden="false" customHeight="false" outlineLevel="0" collapsed="false">
      <c r="A36" s="58" t="str">
        <f aca="false">IF(G36="","",32)</f>
        <v/>
      </c>
      <c r="B36" s="59" t="str">
        <f aca="false">IF(G36="","",INDEX(Giorni!$A$2:$A$367,G36))</f>
        <v/>
      </c>
      <c r="C36" s="58" t="str">
        <f aca="false">IF(G36="","",CHOOSE(WEEKDAY(B36,2),"lunedì","martedì","mercoledì","giovedì","venerdì","sabato","domenica"))</f>
        <v/>
      </c>
      <c r="D36" s="58" t="str">
        <f aca="false">IF(G36="","",IF(INDEX(Giorni!$I$2:$I$367,G36)="A","Assenza","Giustificata"))</f>
        <v/>
      </c>
      <c r="E36" s="58" t="str">
        <f aca="false">IF(G36="","",IF(INDEX(Giorni!$F$2:$F$367,G36)=1,"Sì","No"))</f>
        <v/>
      </c>
      <c r="F36" s="58" t="str">
        <f aca="false">IF(G36="","",IF(E36="Sì",IF(D36="Giustificata","Conta come presenza",""),IF(INDEX(Giorni!$D$2:$D$367,G36)=1,"Festività: non conta",IF(INDEX(Giorni!$E$2:$E$367,G36)=1,"Chiusura: non conta","Fuori periodo: non conta"))))</f>
        <v/>
      </c>
      <c r="G36" s="0" t="str">
        <f aca="false">IFERROR(MATCH(32,Giorni!$N$2:$N$367,0),"")</f>
        <v/>
      </c>
    </row>
    <row r="37" customFormat="false" ht="15" hidden="false" customHeight="false" outlineLevel="0" collapsed="false">
      <c r="A37" s="56" t="str">
        <f aca="false">IF(G37="","",33)</f>
        <v/>
      </c>
      <c r="B37" s="57" t="str">
        <f aca="false">IF(G37="","",INDEX(Giorni!$A$2:$A$367,G37))</f>
        <v/>
      </c>
      <c r="C37" s="56" t="str">
        <f aca="false">IF(G37="","",CHOOSE(WEEKDAY(B37,2),"lunedì","martedì","mercoledì","giovedì","venerdì","sabato","domenica"))</f>
        <v/>
      </c>
      <c r="D37" s="56" t="str">
        <f aca="false">IF(G37="","",IF(INDEX(Giorni!$I$2:$I$367,G37)="A","Assenza","Giustificata"))</f>
        <v/>
      </c>
      <c r="E37" s="56" t="str">
        <f aca="false">IF(G37="","",IF(INDEX(Giorni!$F$2:$F$367,G37)=1,"Sì","No"))</f>
        <v/>
      </c>
      <c r="F37" s="56" t="str">
        <f aca="false">IF(G37="","",IF(E37="Sì",IF(D37="Giustificata","Conta come presenza",""),IF(INDEX(Giorni!$D$2:$D$367,G37)=1,"Festività: non conta",IF(INDEX(Giorni!$E$2:$E$367,G37)=1,"Chiusura: non conta","Fuori periodo: non conta"))))</f>
        <v/>
      </c>
      <c r="G37" s="0" t="str">
        <f aca="false">IFERROR(MATCH(33,Giorni!$N$2:$N$367,0),"")</f>
        <v/>
      </c>
    </row>
    <row r="38" customFormat="false" ht="15" hidden="false" customHeight="false" outlineLevel="0" collapsed="false">
      <c r="A38" s="58" t="str">
        <f aca="false">IF(G38="","",34)</f>
        <v/>
      </c>
      <c r="B38" s="59" t="str">
        <f aca="false">IF(G38="","",INDEX(Giorni!$A$2:$A$367,G38))</f>
        <v/>
      </c>
      <c r="C38" s="58" t="str">
        <f aca="false">IF(G38="","",CHOOSE(WEEKDAY(B38,2),"lunedì","martedì","mercoledì","giovedì","venerdì","sabato","domenica"))</f>
        <v/>
      </c>
      <c r="D38" s="58" t="str">
        <f aca="false">IF(G38="","",IF(INDEX(Giorni!$I$2:$I$367,G38)="A","Assenza","Giustificata"))</f>
        <v/>
      </c>
      <c r="E38" s="58" t="str">
        <f aca="false">IF(G38="","",IF(INDEX(Giorni!$F$2:$F$367,G38)=1,"Sì","No"))</f>
        <v/>
      </c>
      <c r="F38" s="58" t="str">
        <f aca="false">IF(G38="","",IF(E38="Sì",IF(D38="Giustificata","Conta come presenza",""),IF(INDEX(Giorni!$D$2:$D$367,G38)=1,"Festività: non conta",IF(INDEX(Giorni!$E$2:$E$367,G38)=1,"Chiusura: non conta","Fuori periodo: non conta"))))</f>
        <v/>
      </c>
      <c r="G38" s="0" t="str">
        <f aca="false">IFERROR(MATCH(34,Giorni!$N$2:$N$367,0),"")</f>
        <v/>
      </c>
    </row>
    <row r="39" customFormat="false" ht="15" hidden="false" customHeight="false" outlineLevel="0" collapsed="false">
      <c r="A39" s="56" t="str">
        <f aca="false">IF(G39="","",35)</f>
        <v/>
      </c>
      <c r="B39" s="57" t="str">
        <f aca="false">IF(G39="","",INDEX(Giorni!$A$2:$A$367,G39))</f>
        <v/>
      </c>
      <c r="C39" s="56" t="str">
        <f aca="false">IF(G39="","",CHOOSE(WEEKDAY(B39,2),"lunedì","martedì","mercoledì","giovedì","venerdì","sabato","domenica"))</f>
        <v/>
      </c>
      <c r="D39" s="56" t="str">
        <f aca="false">IF(G39="","",IF(INDEX(Giorni!$I$2:$I$367,G39)="A","Assenza","Giustificata"))</f>
        <v/>
      </c>
      <c r="E39" s="56" t="str">
        <f aca="false">IF(G39="","",IF(INDEX(Giorni!$F$2:$F$367,G39)=1,"Sì","No"))</f>
        <v/>
      </c>
      <c r="F39" s="56" t="str">
        <f aca="false">IF(G39="","",IF(E39="Sì",IF(D39="Giustificata","Conta come presenza",""),IF(INDEX(Giorni!$D$2:$D$367,G39)=1,"Festività: non conta",IF(INDEX(Giorni!$E$2:$E$367,G39)=1,"Chiusura: non conta","Fuori periodo: non conta"))))</f>
        <v/>
      </c>
      <c r="G39" s="0" t="str">
        <f aca="false">IFERROR(MATCH(35,Giorni!$N$2:$N$367,0),"")</f>
        <v/>
      </c>
    </row>
    <row r="40" customFormat="false" ht="15" hidden="false" customHeight="false" outlineLevel="0" collapsed="false">
      <c r="A40" s="58" t="str">
        <f aca="false">IF(G40="","",36)</f>
        <v/>
      </c>
      <c r="B40" s="59" t="str">
        <f aca="false">IF(G40="","",INDEX(Giorni!$A$2:$A$367,G40))</f>
        <v/>
      </c>
      <c r="C40" s="58" t="str">
        <f aca="false">IF(G40="","",CHOOSE(WEEKDAY(B40,2),"lunedì","martedì","mercoledì","giovedì","venerdì","sabato","domenica"))</f>
        <v/>
      </c>
      <c r="D40" s="58" t="str">
        <f aca="false">IF(G40="","",IF(INDEX(Giorni!$I$2:$I$367,G40)="A","Assenza","Giustificata"))</f>
        <v/>
      </c>
      <c r="E40" s="58" t="str">
        <f aca="false">IF(G40="","",IF(INDEX(Giorni!$F$2:$F$367,G40)=1,"Sì","No"))</f>
        <v/>
      </c>
      <c r="F40" s="58" t="str">
        <f aca="false">IF(G40="","",IF(E40="Sì",IF(D40="Giustificata","Conta come presenza",""),IF(INDEX(Giorni!$D$2:$D$367,G40)=1,"Festività: non conta",IF(INDEX(Giorni!$E$2:$E$367,G40)=1,"Chiusura: non conta","Fuori periodo: non conta"))))</f>
        <v/>
      </c>
      <c r="G40" s="0" t="str">
        <f aca="false">IFERROR(MATCH(36,Giorni!$N$2:$N$367,0),"")</f>
        <v/>
      </c>
    </row>
    <row r="41" customFormat="false" ht="15" hidden="false" customHeight="false" outlineLevel="0" collapsed="false">
      <c r="A41" s="56" t="str">
        <f aca="false">IF(G41="","",37)</f>
        <v/>
      </c>
      <c r="B41" s="57" t="str">
        <f aca="false">IF(G41="","",INDEX(Giorni!$A$2:$A$367,G41))</f>
        <v/>
      </c>
      <c r="C41" s="56" t="str">
        <f aca="false">IF(G41="","",CHOOSE(WEEKDAY(B41,2),"lunedì","martedì","mercoledì","giovedì","venerdì","sabato","domenica"))</f>
        <v/>
      </c>
      <c r="D41" s="56" t="str">
        <f aca="false">IF(G41="","",IF(INDEX(Giorni!$I$2:$I$367,G41)="A","Assenza","Giustificata"))</f>
        <v/>
      </c>
      <c r="E41" s="56" t="str">
        <f aca="false">IF(G41="","",IF(INDEX(Giorni!$F$2:$F$367,G41)=1,"Sì","No"))</f>
        <v/>
      </c>
      <c r="F41" s="56" t="str">
        <f aca="false">IF(G41="","",IF(E41="Sì",IF(D41="Giustificata","Conta come presenza",""),IF(INDEX(Giorni!$D$2:$D$367,G41)=1,"Festività: non conta",IF(INDEX(Giorni!$E$2:$E$367,G41)=1,"Chiusura: non conta","Fuori periodo: non conta"))))</f>
        <v/>
      </c>
      <c r="G41" s="0" t="str">
        <f aca="false">IFERROR(MATCH(37,Giorni!$N$2:$N$367,0),"")</f>
        <v/>
      </c>
    </row>
    <row r="42" customFormat="false" ht="15" hidden="false" customHeight="false" outlineLevel="0" collapsed="false">
      <c r="A42" s="58" t="str">
        <f aca="false">IF(G42="","",38)</f>
        <v/>
      </c>
      <c r="B42" s="59" t="str">
        <f aca="false">IF(G42="","",INDEX(Giorni!$A$2:$A$367,G42))</f>
        <v/>
      </c>
      <c r="C42" s="58" t="str">
        <f aca="false">IF(G42="","",CHOOSE(WEEKDAY(B42,2),"lunedì","martedì","mercoledì","giovedì","venerdì","sabato","domenica"))</f>
        <v/>
      </c>
      <c r="D42" s="58" t="str">
        <f aca="false">IF(G42="","",IF(INDEX(Giorni!$I$2:$I$367,G42)="A","Assenza","Giustificata"))</f>
        <v/>
      </c>
      <c r="E42" s="58" t="str">
        <f aca="false">IF(G42="","",IF(INDEX(Giorni!$F$2:$F$367,G42)=1,"Sì","No"))</f>
        <v/>
      </c>
      <c r="F42" s="58" t="str">
        <f aca="false">IF(G42="","",IF(E42="Sì",IF(D42="Giustificata","Conta come presenza",""),IF(INDEX(Giorni!$D$2:$D$367,G42)=1,"Festività: non conta",IF(INDEX(Giorni!$E$2:$E$367,G42)=1,"Chiusura: non conta","Fuori periodo: non conta"))))</f>
        <v/>
      </c>
      <c r="G42" s="0" t="str">
        <f aca="false">IFERROR(MATCH(38,Giorni!$N$2:$N$367,0),"")</f>
        <v/>
      </c>
    </row>
    <row r="43" customFormat="false" ht="15" hidden="false" customHeight="false" outlineLevel="0" collapsed="false">
      <c r="A43" s="56" t="str">
        <f aca="false">IF(G43="","",39)</f>
        <v/>
      </c>
      <c r="B43" s="57" t="str">
        <f aca="false">IF(G43="","",INDEX(Giorni!$A$2:$A$367,G43))</f>
        <v/>
      </c>
      <c r="C43" s="56" t="str">
        <f aca="false">IF(G43="","",CHOOSE(WEEKDAY(B43,2),"lunedì","martedì","mercoledì","giovedì","venerdì","sabato","domenica"))</f>
        <v/>
      </c>
      <c r="D43" s="56" t="str">
        <f aca="false">IF(G43="","",IF(INDEX(Giorni!$I$2:$I$367,G43)="A","Assenza","Giustificata"))</f>
        <v/>
      </c>
      <c r="E43" s="56" t="str">
        <f aca="false">IF(G43="","",IF(INDEX(Giorni!$F$2:$F$367,G43)=1,"Sì","No"))</f>
        <v/>
      </c>
      <c r="F43" s="56" t="str">
        <f aca="false">IF(G43="","",IF(E43="Sì",IF(D43="Giustificata","Conta come presenza",""),IF(INDEX(Giorni!$D$2:$D$367,G43)=1,"Festività: non conta",IF(INDEX(Giorni!$E$2:$E$367,G43)=1,"Chiusura: non conta","Fuori periodo: non conta"))))</f>
        <v/>
      </c>
      <c r="G43" s="0" t="str">
        <f aca="false">IFERROR(MATCH(39,Giorni!$N$2:$N$367,0),"")</f>
        <v/>
      </c>
    </row>
    <row r="44" customFormat="false" ht="15" hidden="false" customHeight="false" outlineLevel="0" collapsed="false">
      <c r="A44" s="58" t="str">
        <f aca="false">IF(G44="","",40)</f>
        <v/>
      </c>
      <c r="B44" s="59" t="str">
        <f aca="false">IF(G44="","",INDEX(Giorni!$A$2:$A$367,G44))</f>
        <v/>
      </c>
      <c r="C44" s="58" t="str">
        <f aca="false">IF(G44="","",CHOOSE(WEEKDAY(B44,2),"lunedì","martedì","mercoledì","giovedì","venerdì","sabato","domenica"))</f>
        <v/>
      </c>
      <c r="D44" s="58" t="str">
        <f aca="false">IF(G44="","",IF(INDEX(Giorni!$I$2:$I$367,G44)="A","Assenza","Giustificata"))</f>
        <v/>
      </c>
      <c r="E44" s="58" t="str">
        <f aca="false">IF(G44="","",IF(INDEX(Giorni!$F$2:$F$367,G44)=1,"Sì","No"))</f>
        <v/>
      </c>
      <c r="F44" s="58" t="str">
        <f aca="false">IF(G44="","",IF(E44="Sì",IF(D44="Giustificata","Conta come presenza",""),IF(INDEX(Giorni!$D$2:$D$367,G44)=1,"Festività: non conta",IF(INDEX(Giorni!$E$2:$E$367,G44)=1,"Chiusura: non conta","Fuori periodo: non conta"))))</f>
        <v/>
      </c>
      <c r="G44" s="0" t="str">
        <f aca="false">IFERROR(MATCH(40,Giorni!$N$2:$N$367,0),"")</f>
        <v/>
      </c>
    </row>
    <row r="45" customFormat="false" ht="15" hidden="false" customHeight="false" outlineLevel="0" collapsed="false">
      <c r="A45" s="56" t="str">
        <f aca="false">IF(G45="","",41)</f>
        <v/>
      </c>
      <c r="B45" s="57" t="str">
        <f aca="false">IF(G45="","",INDEX(Giorni!$A$2:$A$367,G45))</f>
        <v/>
      </c>
      <c r="C45" s="56" t="str">
        <f aca="false">IF(G45="","",CHOOSE(WEEKDAY(B45,2),"lunedì","martedì","mercoledì","giovedì","venerdì","sabato","domenica"))</f>
        <v/>
      </c>
      <c r="D45" s="56" t="str">
        <f aca="false">IF(G45="","",IF(INDEX(Giorni!$I$2:$I$367,G45)="A","Assenza","Giustificata"))</f>
        <v/>
      </c>
      <c r="E45" s="56" t="str">
        <f aca="false">IF(G45="","",IF(INDEX(Giorni!$F$2:$F$367,G45)=1,"Sì","No"))</f>
        <v/>
      </c>
      <c r="F45" s="56" t="str">
        <f aca="false">IF(G45="","",IF(E45="Sì",IF(D45="Giustificata","Conta come presenza",""),IF(INDEX(Giorni!$D$2:$D$367,G45)=1,"Festività: non conta",IF(INDEX(Giorni!$E$2:$E$367,G45)=1,"Chiusura: non conta","Fuori periodo: non conta"))))</f>
        <v/>
      </c>
      <c r="G45" s="0" t="str">
        <f aca="false">IFERROR(MATCH(41,Giorni!$N$2:$N$367,0),"")</f>
        <v/>
      </c>
    </row>
    <row r="46" customFormat="false" ht="15" hidden="false" customHeight="false" outlineLevel="0" collapsed="false">
      <c r="A46" s="58" t="str">
        <f aca="false">IF(G46="","",42)</f>
        <v/>
      </c>
      <c r="B46" s="59" t="str">
        <f aca="false">IF(G46="","",INDEX(Giorni!$A$2:$A$367,G46))</f>
        <v/>
      </c>
      <c r="C46" s="58" t="str">
        <f aca="false">IF(G46="","",CHOOSE(WEEKDAY(B46,2),"lunedì","martedì","mercoledì","giovedì","venerdì","sabato","domenica"))</f>
        <v/>
      </c>
      <c r="D46" s="58" t="str">
        <f aca="false">IF(G46="","",IF(INDEX(Giorni!$I$2:$I$367,G46)="A","Assenza","Giustificata"))</f>
        <v/>
      </c>
      <c r="E46" s="58" t="str">
        <f aca="false">IF(G46="","",IF(INDEX(Giorni!$F$2:$F$367,G46)=1,"Sì","No"))</f>
        <v/>
      </c>
      <c r="F46" s="58" t="str">
        <f aca="false">IF(G46="","",IF(E46="Sì",IF(D46="Giustificata","Conta come presenza",""),IF(INDEX(Giorni!$D$2:$D$367,G46)=1,"Festività: non conta",IF(INDEX(Giorni!$E$2:$E$367,G46)=1,"Chiusura: non conta","Fuori periodo: non conta"))))</f>
        <v/>
      </c>
      <c r="G46" s="0" t="str">
        <f aca="false">IFERROR(MATCH(42,Giorni!$N$2:$N$367,0),"")</f>
        <v/>
      </c>
    </row>
    <row r="47" customFormat="false" ht="15" hidden="false" customHeight="false" outlineLevel="0" collapsed="false">
      <c r="A47" s="56" t="str">
        <f aca="false">IF(G47="","",43)</f>
        <v/>
      </c>
      <c r="B47" s="57" t="str">
        <f aca="false">IF(G47="","",INDEX(Giorni!$A$2:$A$367,G47))</f>
        <v/>
      </c>
      <c r="C47" s="56" t="str">
        <f aca="false">IF(G47="","",CHOOSE(WEEKDAY(B47,2),"lunedì","martedì","mercoledì","giovedì","venerdì","sabato","domenica"))</f>
        <v/>
      </c>
      <c r="D47" s="56" t="str">
        <f aca="false">IF(G47="","",IF(INDEX(Giorni!$I$2:$I$367,G47)="A","Assenza","Giustificata"))</f>
        <v/>
      </c>
      <c r="E47" s="56" t="str">
        <f aca="false">IF(G47="","",IF(INDEX(Giorni!$F$2:$F$367,G47)=1,"Sì","No"))</f>
        <v/>
      </c>
      <c r="F47" s="56" t="str">
        <f aca="false">IF(G47="","",IF(E47="Sì",IF(D47="Giustificata","Conta come presenza",""),IF(INDEX(Giorni!$D$2:$D$367,G47)=1,"Festività: non conta",IF(INDEX(Giorni!$E$2:$E$367,G47)=1,"Chiusura: non conta","Fuori periodo: non conta"))))</f>
        <v/>
      </c>
      <c r="G47" s="0" t="str">
        <f aca="false">IFERROR(MATCH(43,Giorni!$N$2:$N$367,0),"")</f>
        <v/>
      </c>
    </row>
    <row r="48" customFormat="false" ht="15" hidden="false" customHeight="false" outlineLevel="0" collapsed="false">
      <c r="A48" s="58" t="str">
        <f aca="false">IF(G48="","",44)</f>
        <v/>
      </c>
      <c r="B48" s="59" t="str">
        <f aca="false">IF(G48="","",INDEX(Giorni!$A$2:$A$367,G48))</f>
        <v/>
      </c>
      <c r="C48" s="58" t="str">
        <f aca="false">IF(G48="","",CHOOSE(WEEKDAY(B48,2),"lunedì","martedì","mercoledì","giovedì","venerdì","sabato","domenica"))</f>
        <v/>
      </c>
      <c r="D48" s="58" t="str">
        <f aca="false">IF(G48="","",IF(INDEX(Giorni!$I$2:$I$367,G48)="A","Assenza","Giustificata"))</f>
        <v/>
      </c>
      <c r="E48" s="58" t="str">
        <f aca="false">IF(G48="","",IF(INDEX(Giorni!$F$2:$F$367,G48)=1,"Sì","No"))</f>
        <v/>
      </c>
      <c r="F48" s="58" t="str">
        <f aca="false">IF(G48="","",IF(E48="Sì",IF(D48="Giustificata","Conta come presenza",""),IF(INDEX(Giorni!$D$2:$D$367,G48)=1,"Festività: non conta",IF(INDEX(Giorni!$E$2:$E$367,G48)=1,"Chiusura: non conta","Fuori periodo: non conta"))))</f>
        <v/>
      </c>
      <c r="G48" s="0" t="str">
        <f aca="false">IFERROR(MATCH(44,Giorni!$N$2:$N$367,0),"")</f>
        <v/>
      </c>
    </row>
    <row r="49" customFormat="false" ht="15" hidden="false" customHeight="false" outlineLevel="0" collapsed="false">
      <c r="A49" s="56" t="str">
        <f aca="false">IF(G49="","",45)</f>
        <v/>
      </c>
      <c r="B49" s="57" t="str">
        <f aca="false">IF(G49="","",INDEX(Giorni!$A$2:$A$367,G49))</f>
        <v/>
      </c>
      <c r="C49" s="56" t="str">
        <f aca="false">IF(G49="","",CHOOSE(WEEKDAY(B49,2),"lunedì","martedì","mercoledì","giovedì","venerdì","sabato","domenica"))</f>
        <v/>
      </c>
      <c r="D49" s="56" t="str">
        <f aca="false">IF(G49="","",IF(INDEX(Giorni!$I$2:$I$367,G49)="A","Assenza","Giustificata"))</f>
        <v/>
      </c>
      <c r="E49" s="56" t="str">
        <f aca="false">IF(G49="","",IF(INDEX(Giorni!$F$2:$F$367,G49)=1,"Sì","No"))</f>
        <v/>
      </c>
      <c r="F49" s="56" t="str">
        <f aca="false">IF(G49="","",IF(E49="Sì",IF(D49="Giustificata","Conta come presenza",""),IF(INDEX(Giorni!$D$2:$D$367,G49)=1,"Festività: non conta",IF(INDEX(Giorni!$E$2:$E$367,G49)=1,"Chiusura: non conta","Fuori periodo: non conta"))))</f>
        <v/>
      </c>
      <c r="G49" s="0" t="str">
        <f aca="false">IFERROR(MATCH(45,Giorni!$N$2:$N$367,0),"")</f>
        <v/>
      </c>
    </row>
    <row r="50" customFormat="false" ht="15" hidden="false" customHeight="false" outlineLevel="0" collapsed="false">
      <c r="A50" s="58" t="str">
        <f aca="false">IF(G50="","",46)</f>
        <v/>
      </c>
      <c r="B50" s="59" t="str">
        <f aca="false">IF(G50="","",INDEX(Giorni!$A$2:$A$367,G50))</f>
        <v/>
      </c>
      <c r="C50" s="58" t="str">
        <f aca="false">IF(G50="","",CHOOSE(WEEKDAY(B50,2),"lunedì","martedì","mercoledì","giovedì","venerdì","sabato","domenica"))</f>
        <v/>
      </c>
      <c r="D50" s="58" t="str">
        <f aca="false">IF(G50="","",IF(INDEX(Giorni!$I$2:$I$367,G50)="A","Assenza","Giustificata"))</f>
        <v/>
      </c>
      <c r="E50" s="58" t="str">
        <f aca="false">IF(G50="","",IF(INDEX(Giorni!$F$2:$F$367,G50)=1,"Sì","No"))</f>
        <v/>
      </c>
      <c r="F50" s="58" t="str">
        <f aca="false">IF(G50="","",IF(E50="Sì",IF(D50="Giustificata","Conta come presenza",""),IF(INDEX(Giorni!$D$2:$D$367,G50)=1,"Festività: non conta",IF(INDEX(Giorni!$E$2:$E$367,G50)=1,"Chiusura: non conta","Fuori periodo: non conta"))))</f>
        <v/>
      </c>
      <c r="G50" s="0" t="str">
        <f aca="false">IFERROR(MATCH(46,Giorni!$N$2:$N$367,0),"")</f>
        <v/>
      </c>
    </row>
    <row r="51" customFormat="false" ht="15" hidden="false" customHeight="false" outlineLevel="0" collapsed="false">
      <c r="A51" s="56" t="str">
        <f aca="false">IF(G51="","",47)</f>
        <v/>
      </c>
      <c r="B51" s="57" t="str">
        <f aca="false">IF(G51="","",INDEX(Giorni!$A$2:$A$367,G51))</f>
        <v/>
      </c>
      <c r="C51" s="56" t="str">
        <f aca="false">IF(G51="","",CHOOSE(WEEKDAY(B51,2),"lunedì","martedì","mercoledì","giovedì","venerdì","sabato","domenica"))</f>
        <v/>
      </c>
      <c r="D51" s="56" t="str">
        <f aca="false">IF(G51="","",IF(INDEX(Giorni!$I$2:$I$367,G51)="A","Assenza","Giustificata"))</f>
        <v/>
      </c>
      <c r="E51" s="56" t="str">
        <f aca="false">IF(G51="","",IF(INDEX(Giorni!$F$2:$F$367,G51)=1,"Sì","No"))</f>
        <v/>
      </c>
      <c r="F51" s="56" t="str">
        <f aca="false">IF(G51="","",IF(E51="Sì",IF(D51="Giustificata","Conta come presenza",""),IF(INDEX(Giorni!$D$2:$D$367,G51)=1,"Festività: non conta",IF(INDEX(Giorni!$E$2:$E$367,G51)=1,"Chiusura: non conta","Fuori periodo: non conta"))))</f>
        <v/>
      </c>
      <c r="G51" s="0" t="str">
        <f aca="false">IFERROR(MATCH(47,Giorni!$N$2:$N$367,0),"")</f>
        <v/>
      </c>
    </row>
    <row r="52" customFormat="false" ht="15" hidden="false" customHeight="false" outlineLevel="0" collapsed="false">
      <c r="A52" s="58" t="str">
        <f aca="false">IF(G52="","",48)</f>
        <v/>
      </c>
      <c r="B52" s="59" t="str">
        <f aca="false">IF(G52="","",INDEX(Giorni!$A$2:$A$367,G52))</f>
        <v/>
      </c>
      <c r="C52" s="58" t="str">
        <f aca="false">IF(G52="","",CHOOSE(WEEKDAY(B52,2),"lunedì","martedì","mercoledì","giovedì","venerdì","sabato","domenica"))</f>
        <v/>
      </c>
      <c r="D52" s="58" t="str">
        <f aca="false">IF(G52="","",IF(INDEX(Giorni!$I$2:$I$367,G52)="A","Assenza","Giustificata"))</f>
        <v/>
      </c>
      <c r="E52" s="58" t="str">
        <f aca="false">IF(G52="","",IF(INDEX(Giorni!$F$2:$F$367,G52)=1,"Sì","No"))</f>
        <v/>
      </c>
      <c r="F52" s="58" t="str">
        <f aca="false">IF(G52="","",IF(E52="Sì",IF(D52="Giustificata","Conta come presenza",""),IF(INDEX(Giorni!$D$2:$D$367,G52)=1,"Festività: non conta",IF(INDEX(Giorni!$E$2:$E$367,G52)=1,"Chiusura: non conta","Fuori periodo: non conta"))))</f>
        <v/>
      </c>
      <c r="G52" s="0" t="str">
        <f aca="false">IFERROR(MATCH(48,Giorni!$N$2:$N$367,0),"")</f>
        <v/>
      </c>
    </row>
    <row r="53" customFormat="false" ht="15" hidden="false" customHeight="false" outlineLevel="0" collapsed="false">
      <c r="A53" s="56" t="str">
        <f aca="false">IF(G53="","",49)</f>
        <v/>
      </c>
      <c r="B53" s="57" t="str">
        <f aca="false">IF(G53="","",INDEX(Giorni!$A$2:$A$367,G53))</f>
        <v/>
      </c>
      <c r="C53" s="56" t="str">
        <f aca="false">IF(G53="","",CHOOSE(WEEKDAY(B53,2),"lunedì","martedì","mercoledì","giovedì","venerdì","sabato","domenica"))</f>
        <v/>
      </c>
      <c r="D53" s="56" t="str">
        <f aca="false">IF(G53="","",IF(INDEX(Giorni!$I$2:$I$367,G53)="A","Assenza","Giustificata"))</f>
        <v/>
      </c>
      <c r="E53" s="56" t="str">
        <f aca="false">IF(G53="","",IF(INDEX(Giorni!$F$2:$F$367,G53)=1,"Sì","No"))</f>
        <v/>
      </c>
      <c r="F53" s="56" t="str">
        <f aca="false">IF(G53="","",IF(E53="Sì",IF(D53="Giustificata","Conta come presenza",""),IF(INDEX(Giorni!$D$2:$D$367,G53)=1,"Festività: non conta",IF(INDEX(Giorni!$E$2:$E$367,G53)=1,"Chiusura: non conta","Fuori periodo: non conta"))))</f>
        <v/>
      </c>
      <c r="G53" s="0" t="str">
        <f aca="false">IFERROR(MATCH(49,Giorni!$N$2:$N$367,0),"")</f>
        <v/>
      </c>
    </row>
    <row r="54" customFormat="false" ht="15" hidden="false" customHeight="false" outlineLevel="0" collapsed="false">
      <c r="A54" s="58" t="str">
        <f aca="false">IF(G54="","",50)</f>
        <v/>
      </c>
      <c r="B54" s="59" t="str">
        <f aca="false">IF(G54="","",INDEX(Giorni!$A$2:$A$367,G54))</f>
        <v/>
      </c>
      <c r="C54" s="58" t="str">
        <f aca="false">IF(G54="","",CHOOSE(WEEKDAY(B54,2),"lunedì","martedì","mercoledì","giovedì","venerdì","sabato","domenica"))</f>
        <v/>
      </c>
      <c r="D54" s="58" t="str">
        <f aca="false">IF(G54="","",IF(INDEX(Giorni!$I$2:$I$367,G54)="A","Assenza","Giustificata"))</f>
        <v/>
      </c>
      <c r="E54" s="58" t="str">
        <f aca="false">IF(G54="","",IF(INDEX(Giorni!$F$2:$F$367,G54)=1,"Sì","No"))</f>
        <v/>
      </c>
      <c r="F54" s="58" t="str">
        <f aca="false">IF(G54="","",IF(E54="Sì",IF(D54="Giustificata","Conta come presenza",""),IF(INDEX(Giorni!$D$2:$D$367,G54)=1,"Festività: non conta",IF(INDEX(Giorni!$E$2:$E$367,G54)=1,"Chiusura: non conta","Fuori periodo: non conta"))))</f>
        <v/>
      </c>
      <c r="G54" s="0" t="str">
        <f aca="false">IFERROR(MATCH(50,Giorni!$N$2:$N$367,0),"")</f>
        <v/>
      </c>
    </row>
    <row r="55" customFormat="false" ht="15" hidden="false" customHeight="false" outlineLevel="0" collapsed="false">
      <c r="A55" s="56" t="str">
        <f aca="false">IF(G55="","",51)</f>
        <v/>
      </c>
      <c r="B55" s="57" t="str">
        <f aca="false">IF(G55="","",INDEX(Giorni!$A$2:$A$367,G55))</f>
        <v/>
      </c>
      <c r="C55" s="56" t="str">
        <f aca="false">IF(G55="","",CHOOSE(WEEKDAY(B55,2),"lunedì","martedì","mercoledì","giovedì","venerdì","sabato","domenica"))</f>
        <v/>
      </c>
      <c r="D55" s="56" t="str">
        <f aca="false">IF(G55="","",IF(INDEX(Giorni!$I$2:$I$367,G55)="A","Assenza","Giustificata"))</f>
        <v/>
      </c>
      <c r="E55" s="56" t="str">
        <f aca="false">IF(G55="","",IF(INDEX(Giorni!$F$2:$F$367,G55)=1,"Sì","No"))</f>
        <v/>
      </c>
      <c r="F55" s="56" t="str">
        <f aca="false">IF(G55="","",IF(E55="Sì",IF(D55="Giustificata","Conta come presenza",""),IF(INDEX(Giorni!$D$2:$D$367,G55)=1,"Festività: non conta",IF(INDEX(Giorni!$E$2:$E$367,G55)=1,"Chiusura: non conta","Fuori periodo: non conta"))))</f>
        <v/>
      </c>
      <c r="G55" s="0" t="str">
        <f aca="false">IFERROR(MATCH(51,Giorni!$N$2:$N$367,0),"")</f>
        <v/>
      </c>
    </row>
    <row r="56" customFormat="false" ht="15" hidden="false" customHeight="false" outlineLevel="0" collapsed="false">
      <c r="A56" s="58" t="str">
        <f aca="false">IF(G56="","",52)</f>
        <v/>
      </c>
      <c r="B56" s="59" t="str">
        <f aca="false">IF(G56="","",INDEX(Giorni!$A$2:$A$367,G56))</f>
        <v/>
      </c>
      <c r="C56" s="58" t="str">
        <f aca="false">IF(G56="","",CHOOSE(WEEKDAY(B56,2),"lunedì","martedì","mercoledì","giovedì","venerdì","sabato","domenica"))</f>
        <v/>
      </c>
      <c r="D56" s="58" t="str">
        <f aca="false">IF(G56="","",IF(INDEX(Giorni!$I$2:$I$367,G56)="A","Assenza","Giustificata"))</f>
        <v/>
      </c>
      <c r="E56" s="58" t="str">
        <f aca="false">IF(G56="","",IF(INDEX(Giorni!$F$2:$F$367,G56)=1,"Sì","No"))</f>
        <v/>
      </c>
      <c r="F56" s="58" t="str">
        <f aca="false">IF(G56="","",IF(E56="Sì",IF(D56="Giustificata","Conta come presenza",""),IF(INDEX(Giorni!$D$2:$D$367,G56)=1,"Festività: non conta",IF(INDEX(Giorni!$E$2:$E$367,G56)=1,"Chiusura: non conta","Fuori periodo: non conta"))))</f>
        <v/>
      </c>
      <c r="G56" s="0" t="str">
        <f aca="false">IFERROR(MATCH(52,Giorni!$N$2:$N$367,0),"")</f>
        <v/>
      </c>
    </row>
    <row r="57" customFormat="false" ht="15" hidden="false" customHeight="false" outlineLevel="0" collapsed="false">
      <c r="A57" s="56" t="str">
        <f aca="false">IF(G57="","",53)</f>
        <v/>
      </c>
      <c r="B57" s="57" t="str">
        <f aca="false">IF(G57="","",INDEX(Giorni!$A$2:$A$367,G57))</f>
        <v/>
      </c>
      <c r="C57" s="56" t="str">
        <f aca="false">IF(G57="","",CHOOSE(WEEKDAY(B57,2),"lunedì","martedì","mercoledì","giovedì","venerdì","sabato","domenica"))</f>
        <v/>
      </c>
      <c r="D57" s="56" t="str">
        <f aca="false">IF(G57="","",IF(INDEX(Giorni!$I$2:$I$367,G57)="A","Assenza","Giustificata"))</f>
        <v/>
      </c>
      <c r="E57" s="56" t="str">
        <f aca="false">IF(G57="","",IF(INDEX(Giorni!$F$2:$F$367,G57)=1,"Sì","No"))</f>
        <v/>
      </c>
      <c r="F57" s="56" t="str">
        <f aca="false">IF(G57="","",IF(E57="Sì",IF(D57="Giustificata","Conta come presenza",""),IF(INDEX(Giorni!$D$2:$D$367,G57)=1,"Festività: non conta",IF(INDEX(Giorni!$E$2:$E$367,G57)=1,"Chiusura: non conta","Fuori periodo: non conta"))))</f>
        <v/>
      </c>
      <c r="G57" s="0" t="str">
        <f aca="false">IFERROR(MATCH(53,Giorni!$N$2:$N$367,0),"")</f>
        <v/>
      </c>
    </row>
    <row r="58" customFormat="false" ht="15" hidden="false" customHeight="false" outlineLevel="0" collapsed="false">
      <c r="A58" s="58" t="str">
        <f aca="false">IF(G58="","",54)</f>
        <v/>
      </c>
      <c r="B58" s="59" t="str">
        <f aca="false">IF(G58="","",INDEX(Giorni!$A$2:$A$367,G58))</f>
        <v/>
      </c>
      <c r="C58" s="58" t="str">
        <f aca="false">IF(G58="","",CHOOSE(WEEKDAY(B58,2),"lunedì","martedì","mercoledì","giovedì","venerdì","sabato","domenica"))</f>
        <v/>
      </c>
      <c r="D58" s="58" t="str">
        <f aca="false">IF(G58="","",IF(INDEX(Giorni!$I$2:$I$367,G58)="A","Assenza","Giustificata"))</f>
        <v/>
      </c>
      <c r="E58" s="58" t="str">
        <f aca="false">IF(G58="","",IF(INDEX(Giorni!$F$2:$F$367,G58)=1,"Sì","No"))</f>
        <v/>
      </c>
      <c r="F58" s="58" t="str">
        <f aca="false">IF(G58="","",IF(E58="Sì",IF(D58="Giustificata","Conta come presenza",""),IF(INDEX(Giorni!$D$2:$D$367,G58)=1,"Festività: non conta",IF(INDEX(Giorni!$E$2:$E$367,G58)=1,"Chiusura: non conta","Fuori periodo: non conta"))))</f>
        <v/>
      </c>
      <c r="G58" s="0" t="str">
        <f aca="false">IFERROR(MATCH(54,Giorni!$N$2:$N$367,0),"")</f>
        <v/>
      </c>
    </row>
    <row r="59" customFormat="false" ht="15" hidden="false" customHeight="false" outlineLevel="0" collapsed="false">
      <c r="A59" s="56" t="str">
        <f aca="false">IF(G59="","",55)</f>
        <v/>
      </c>
      <c r="B59" s="57" t="str">
        <f aca="false">IF(G59="","",INDEX(Giorni!$A$2:$A$367,G59))</f>
        <v/>
      </c>
      <c r="C59" s="56" t="str">
        <f aca="false">IF(G59="","",CHOOSE(WEEKDAY(B59,2),"lunedì","martedì","mercoledì","giovedì","venerdì","sabato","domenica"))</f>
        <v/>
      </c>
      <c r="D59" s="56" t="str">
        <f aca="false">IF(G59="","",IF(INDEX(Giorni!$I$2:$I$367,G59)="A","Assenza","Giustificata"))</f>
        <v/>
      </c>
      <c r="E59" s="56" t="str">
        <f aca="false">IF(G59="","",IF(INDEX(Giorni!$F$2:$F$367,G59)=1,"Sì","No"))</f>
        <v/>
      </c>
      <c r="F59" s="56" t="str">
        <f aca="false">IF(G59="","",IF(E59="Sì",IF(D59="Giustificata","Conta come presenza",""),IF(INDEX(Giorni!$D$2:$D$367,G59)=1,"Festività: non conta",IF(INDEX(Giorni!$E$2:$E$367,G59)=1,"Chiusura: non conta","Fuori periodo: non conta"))))</f>
        <v/>
      </c>
      <c r="G59" s="0" t="str">
        <f aca="false">IFERROR(MATCH(55,Giorni!$N$2:$N$367,0),"")</f>
        <v/>
      </c>
    </row>
    <row r="60" customFormat="false" ht="15" hidden="false" customHeight="false" outlineLevel="0" collapsed="false">
      <c r="A60" s="58" t="str">
        <f aca="false">IF(G60="","",56)</f>
        <v/>
      </c>
      <c r="B60" s="59" t="str">
        <f aca="false">IF(G60="","",INDEX(Giorni!$A$2:$A$367,G60))</f>
        <v/>
      </c>
      <c r="C60" s="58" t="str">
        <f aca="false">IF(G60="","",CHOOSE(WEEKDAY(B60,2),"lunedì","martedì","mercoledì","giovedì","venerdì","sabato","domenica"))</f>
        <v/>
      </c>
      <c r="D60" s="58" t="str">
        <f aca="false">IF(G60="","",IF(INDEX(Giorni!$I$2:$I$367,G60)="A","Assenza","Giustificata"))</f>
        <v/>
      </c>
      <c r="E60" s="58" t="str">
        <f aca="false">IF(G60="","",IF(INDEX(Giorni!$F$2:$F$367,G60)=1,"Sì","No"))</f>
        <v/>
      </c>
      <c r="F60" s="58" t="str">
        <f aca="false">IF(G60="","",IF(E60="Sì",IF(D60="Giustificata","Conta come presenza",""),IF(INDEX(Giorni!$D$2:$D$367,G60)=1,"Festività: non conta",IF(INDEX(Giorni!$E$2:$E$367,G60)=1,"Chiusura: non conta","Fuori periodo: non conta"))))</f>
        <v/>
      </c>
      <c r="G60" s="0" t="str">
        <f aca="false">IFERROR(MATCH(56,Giorni!$N$2:$N$367,0),"")</f>
        <v/>
      </c>
    </row>
    <row r="61" customFormat="false" ht="15" hidden="false" customHeight="false" outlineLevel="0" collapsed="false">
      <c r="A61" s="56" t="str">
        <f aca="false">IF(G61="","",57)</f>
        <v/>
      </c>
      <c r="B61" s="57" t="str">
        <f aca="false">IF(G61="","",INDEX(Giorni!$A$2:$A$367,G61))</f>
        <v/>
      </c>
      <c r="C61" s="56" t="str">
        <f aca="false">IF(G61="","",CHOOSE(WEEKDAY(B61,2),"lunedì","martedì","mercoledì","giovedì","venerdì","sabato","domenica"))</f>
        <v/>
      </c>
      <c r="D61" s="56" t="str">
        <f aca="false">IF(G61="","",IF(INDEX(Giorni!$I$2:$I$367,G61)="A","Assenza","Giustificata"))</f>
        <v/>
      </c>
      <c r="E61" s="56" t="str">
        <f aca="false">IF(G61="","",IF(INDEX(Giorni!$F$2:$F$367,G61)=1,"Sì","No"))</f>
        <v/>
      </c>
      <c r="F61" s="56" t="str">
        <f aca="false">IF(G61="","",IF(E61="Sì",IF(D61="Giustificata","Conta come presenza",""),IF(INDEX(Giorni!$D$2:$D$367,G61)=1,"Festività: non conta",IF(INDEX(Giorni!$E$2:$E$367,G61)=1,"Chiusura: non conta","Fuori periodo: non conta"))))</f>
        <v/>
      </c>
      <c r="G61" s="0" t="str">
        <f aca="false">IFERROR(MATCH(57,Giorni!$N$2:$N$367,0),"")</f>
        <v/>
      </c>
    </row>
    <row r="62" customFormat="false" ht="15" hidden="false" customHeight="false" outlineLevel="0" collapsed="false">
      <c r="A62" s="58" t="str">
        <f aca="false">IF(G62="","",58)</f>
        <v/>
      </c>
      <c r="B62" s="59" t="str">
        <f aca="false">IF(G62="","",INDEX(Giorni!$A$2:$A$367,G62))</f>
        <v/>
      </c>
      <c r="C62" s="58" t="str">
        <f aca="false">IF(G62="","",CHOOSE(WEEKDAY(B62,2),"lunedì","martedì","mercoledì","giovedì","venerdì","sabato","domenica"))</f>
        <v/>
      </c>
      <c r="D62" s="58" t="str">
        <f aca="false">IF(G62="","",IF(INDEX(Giorni!$I$2:$I$367,G62)="A","Assenza","Giustificata"))</f>
        <v/>
      </c>
      <c r="E62" s="58" t="str">
        <f aca="false">IF(G62="","",IF(INDEX(Giorni!$F$2:$F$367,G62)=1,"Sì","No"))</f>
        <v/>
      </c>
      <c r="F62" s="58" t="str">
        <f aca="false">IF(G62="","",IF(E62="Sì",IF(D62="Giustificata","Conta come presenza",""),IF(INDEX(Giorni!$D$2:$D$367,G62)=1,"Festività: non conta",IF(INDEX(Giorni!$E$2:$E$367,G62)=1,"Chiusura: non conta","Fuori periodo: non conta"))))</f>
        <v/>
      </c>
      <c r="G62" s="0" t="str">
        <f aca="false">IFERROR(MATCH(58,Giorni!$N$2:$N$367,0),"")</f>
        <v/>
      </c>
    </row>
    <row r="63" customFormat="false" ht="15" hidden="false" customHeight="false" outlineLevel="0" collapsed="false">
      <c r="A63" s="56" t="str">
        <f aca="false">IF(G63="","",59)</f>
        <v/>
      </c>
      <c r="B63" s="57" t="str">
        <f aca="false">IF(G63="","",INDEX(Giorni!$A$2:$A$367,G63))</f>
        <v/>
      </c>
      <c r="C63" s="56" t="str">
        <f aca="false">IF(G63="","",CHOOSE(WEEKDAY(B63,2),"lunedì","martedì","mercoledì","giovedì","venerdì","sabato","domenica"))</f>
        <v/>
      </c>
      <c r="D63" s="56" t="str">
        <f aca="false">IF(G63="","",IF(INDEX(Giorni!$I$2:$I$367,G63)="A","Assenza","Giustificata"))</f>
        <v/>
      </c>
      <c r="E63" s="56" t="str">
        <f aca="false">IF(G63="","",IF(INDEX(Giorni!$F$2:$F$367,G63)=1,"Sì","No"))</f>
        <v/>
      </c>
      <c r="F63" s="56" t="str">
        <f aca="false">IF(G63="","",IF(E63="Sì",IF(D63="Giustificata","Conta come presenza",""),IF(INDEX(Giorni!$D$2:$D$367,G63)=1,"Festività: non conta",IF(INDEX(Giorni!$E$2:$E$367,G63)=1,"Chiusura: non conta","Fuori periodo: non conta"))))</f>
        <v/>
      </c>
      <c r="G63" s="0" t="str">
        <f aca="false">IFERROR(MATCH(59,Giorni!$N$2:$N$367,0),"")</f>
        <v/>
      </c>
    </row>
    <row r="64" customFormat="false" ht="15" hidden="false" customHeight="false" outlineLevel="0" collapsed="false">
      <c r="A64" s="58" t="str">
        <f aca="false">IF(G64="","",60)</f>
        <v/>
      </c>
      <c r="B64" s="59" t="str">
        <f aca="false">IF(G64="","",INDEX(Giorni!$A$2:$A$367,G64))</f>
        <v/>
      </c>
      <c r="C64" s="58" t="str">
        <f aca="false">IF(G64="","",CHOOSE(WEEKDAY(B64,2),"lunedì","martedì","mercoledì","giovedì","venerdì","sabato","domenica"))</f>
        <v/>
      </c>
      <c r="D64" s="58" t="str">
        <f aca="false">IF(G64="","",IF(INDEX(Giorni!$I$2:$I$367,G64)="A","Assenza","Giustificata"))</f>
        <v/>
      </c>
      <c r="E64" s="58" t="str">
        <f aca="false">IF(G64="","",IF(INDEX(Giorni!$F$2:$F$367,G64)=1,"Sì","No"))</f>
        <v/>
      </c>
      <c r="F64" s="58" t="str">
        <f aca="false">IF(G64="","",IF(E64="Sì",IF(D64="Giustificata","Conta come presenza",""),IF(INDEX(Giorni!$D$2:$D$367,G64)=1,"Festività: non conta",IF(INDEX(Giorni!$E$2:$E$367,G64)=1,"Chiusura: non conta","Fuori periodo: non conta"))))</f>
        <v/>
      </c>
      <c r="G64" s="0" t="str">
        <f aca="false">IFERROR(MATCH(60,Giorni!$N$2:$N$367,0),"")</f>
        <v/>
      </c>
    </row>
    <row r="65" customFormat="false" ht="15" hidden="false" customHeight="false" outlineLevel="0" collapsed="false">
      <c r="A65" s="56" t="str">
        <f aca="false">IF(G65="","",61)</f>
        <v/>
      </c>
      <c r="B65" s="57" t="str">
        <f aca="false">IF(G65="","",INDEX(Giorni!$A$2:$A$367,G65))</f>
        <v/>
      </c>
      <c r="C65" s="56" t="str">
        <f aca="false">IF(G65="","",CHOOSE(WEEKDAY(B65,2),"lunedì","martedì","mercoledì","giovedì","venerdì","sabato","domenica"))</f>
        <v/>
      </c>
      <c r="D65" s="56" t="str">
        <f aca="false">IF(G65="","",IF(INDEX(Giorni!$I$2:$I$367,G65)="A","Assenza","Giustificata"))</f>
        <v/>
      </c>
      <c r="E65" s="56" t="str">
        <f aca="false">IF(G65="","",IF(INDEX(Giorni!$F$2:$F$367,G65)=1,"Sì","No"))</f>
        <v/>
      </c>
      <c r="F65" s="56" t="str">
        <f aca="false">IF(G65="","",IF(E65="Sì",IF(D65="Giustificata","Conta come presenza",""),IF(INDEX(Giorni!$D$2:$D$367,G65)=1,"Festività: non conta",IF(INDEX(Giorni!$E$2:$E$367,G65)=1,"Chiusura: non conta","Fuori periodo: non conta"))))</f>
        <v/>
      </c>
      <c r="G65" s="0" t="str">
        <f aca="false">IFERROR(MATCH(61,Giorni!$N$2:$N$367,0),"")</f>
        <v/>
      </c>
    </row>
    <row r="66" customFormat="false" ht="15" hidden="false" customHeight="false" outlineLevel="0" collapsed="false">
      <c r="A66" s="58" t="str">
        <f aca="false">IF(G66="","",62)</f>
        <v/>
      </c>
      <c r="B66" s="59" t="str">
        <f aca="false">IF(G66="","",INDEX(Giorni!$A$2:$A$367,G66))</f>
        <v/>
      </c>
      <c r="C66" s="58" t="str">
        <f aca="false">IF(G66="","",CHOOSE(WEEKDAY(B66,2),"lunedì","martedì","mercoledì","giovedì","venerdì","sabato","domenica"))</f>
        <v/>
      </c>
      <c r="D66" s="58" t="str">
        <f aca="false">IF(G66="","",IF(INDEX(Giorni!$I$2:$I$367,G66)="A","Assenza","Giustificata"))</f>
        <v/>
      </c>
      <c r="E66" s="58" t="str">
        <f aca="false">IF(G66="","",IF(INDEX(Giorni!$F$2:$F$367,G66)=1,"Sì","No"))</f>
        <v/>
      </c>
      <c r="F66" s="58" t="str">
        <f aca="false">IF(G66="","",IF(E66="Sì",IF(D66="Giustificata","Conta come presenza",""),IF(INDEX(Giorni!$D$2:$D$367,G66)=1,"Festività: non conta",IF(INDEX(Giorni!$E$2:$E$367,G66)=1,"Chiusura: non conta","Fuori periodo: non conta"))))</f>
        <v/>
      </c>
      <c r="G66" s="0" t="str">
        <f aca="false">IFERROR(MATCH(62,Giorni!$N$2:$N$367,0),"")</f>
        <v/>
      </c>
    </row>
    <row r="67" customFormat="false" ht="15" hidden="false" customHeight="false" outlineLevel="0" collapsed="false">
      <c r="A67" s="56" t="str">
        <f aca="false">IF(G67="","",63)</f>
        <v/>
      </c>
      <c r="B67" s="57" t="str">
        <f aca="false">IF(G67="","",INDEX(Giorni!$A$2:$A$367,G67))</f>
        <v/>
      </c>
      <c r="C67" s="56" t="str">
        <f aca="false">IF(G67="","",CHOOSE(WEEKDAY(B67,2),"lunedì","martedì","mercoledì","giovedì","venerdì","sabato","domenica"))</f>
        <v/>
      </c>
      <c r="D67" s="56" t="str">
        <f aca="false">IF(G67="","",IF(INDEX(Giorni!$I$2:$I$367,G67)="A","Assenza","Giustificata"))</f>
        <v/>
      </c>
      <c r="E67" s="56" t="str">
        <f aca="false">IF(G67="","",IF(INDEX(Giorni!$F$2:$F$367,G67)=1,"Sì","No"))</f>
        <v/>
      </c>
      <c r="F67" s="56" t="str">
        <f aca="false">IF(G67="","",IF(E67="Sì",IF(D67="Giustificata","Conta come presenza",""),IF(INDEX(Giorni!$D$2:$D$367,G67)=1,"Festività: non conta",IF(INDEX(Giorni!$E$2:$E$367,G67)=1,"Chiusura: non conta","Fuori periodo: non conta"))))</f>
        <v/>
      </c>
      <c r="G67" s="0" t="str">
        <f aca="false">IFERROR(MATCH(63,Giorni!$N$2:$N$367,0),"")</f>
        <v/>
      </c>
    </row>
    <row r="68" customFormat="false" ht="15" hidden="false" customHeight="false" outlineLevel="0" collapsed="false">
      <c r="A68" s="58" t="str">
        <f aca="false">IF(G68="","",64)</f>
        <v/>
      </c>
      <c r="B68" s="59" t="str">
        <f aca="false">IF(G68="","",INDEX(Giorni!$A$2:$A$367,G68))</f>
        <v/>
      </c>
      <c r="C68" s="58" t="str">
        <f aca="false">IF(G68="","",CHOOSE(WEEKDAY(B68,2),"lunedì","martedì","mercoledì","giovedì","venerdì","sabato","domenica"))</f>
        <v/>
      </c>
      <c r="D68" s="58" t="str">
        <f aca="false">IF(G68="","",IF(INDEX(Giorni!$I$2:$I$367,G68)="A","Assenza","Giustificata"))</f>
        <v/>
      </c>
      <c r="E68" s="58" t="str">
        <f aca="false">IF(G68="","",IF(INDEX(Giorni!$F$2:$F$367,G68)=1,"Sì","No"))</f>
        <v/>
      </c>
      <c r="F68" s="58" t="str">
        <f aca="false">IF(G68="","",IF(E68="Sì",IF(D68="Giustificata","Conta come presenza",""),IF(INDEX(Giorni!$D$2:$D$367,G68)=1,"Festività: non conta",IF(INDEX(Giorni!$E$2:$E$367,G68)=1,"Chiusura: non conta","Fuori periodo: non conta"))))</f>
        <v/>
      </c>
      <c r="G68" s="0" t="str">
        <f aca="false">IFERROR(MATCH(64,Giorni!$N$2:$N$367,0),"")</f>
        <v/>
      </c>
    </row>
    <row r="69" customFormat="false" ht="15" hidden="false" customHeight="false" outlineLevel="0" collapsed="false">
      <c r="A69" s="56" t="str">
        <f aca="false">IF(G69="","",65)</f>
        <v/>
      </c>
      <c r="B69" s="57" t="str">
        <f aca="false">IF(G69="","",INDEX(Giorni!$A$2:$A$367,G69))</f>
        <v/>
      </c>
      <c r="C69" s="56" t="str">
        <f aca="false">IF(G69="","",CHOOSE(WEEKDAY(B69,2),"lunedì","martedì","mercoledì","giovedì","venerdì","sabato","domenica"))</f>
        <v/>
      </c>
      <c r="D69" s="56" t="str">
        <f aca="false">IF(G69="","",IF(INDEX(Giorni!$I$2:$I$367,G69)="A","Assenza","Giustificata"))</f>
        <v/>
      </c>
      <c r="E69" s="56" t="str">
        <f aca="false">IF(G69="","",IF(INDEX(Giorni!$F$2:$F$367,G69)=1,"Sì","No"))</f>
        <v/>
      </c>
      <c r="F69" s="56" t="str">
        <f aca="false">IF(G69="","",IF(E69="Sì",IF(D69="Giustificata","Conta come presenza",""),IF(INDEX(Giorni!$D$2:$D$367,G69)=1,"Festività: non conta",IF(INDEX(Giorni!$E$2:$E$367,G69)=1,"Chiusura: non conta","Fuori periodo: non conta"))))</f>
        <v/>
      </c>
      <c r="G69" s="0" t="str">
        <f aca="false">IFERROR(MATCH(65,Giorni!$N$2:$N$367,0),"")</f>
        <v/>
      </c>
    </row>
    <row r="70" customFormat="false" ht="15" hidden="false" customHeight="false" outlineLevel="0" collapsed="false">
      <c r="A70" s="58" t="str">
        <f aca="false">IF(G70="","",66)</f>
        <v/>
      </c>
      <c r="B70" s="59" t="str">
        <f aca="false">IF(G70="","",INDEX(Giorni!$A$2:$A$367,G70))</f>
        <v/>
      </c>
      <c r="C70" s="58" t="str">
        <f aca="false">IF(G70="","",CHOOSE(WEEKDAY(B70,2),"lunedì","martedì","mercoledì","giovedì","venerdì","sabato","domenica"))</f>
        <v/>
      </c>
      <c r="D70" s="58" t="str">
        <f aca="false">IF(G70="","",IF(INDEX(Giorni!$I$2:$I$367,G70)="A","Assenza","Giustificata"))</f>
        <v/>
      </c>
      <c r="E70" s="58" t="str">
        <f aca="false">IF(G70="","",IF(INDEX(Giorni!$F$2:$F$367,G70)=1,"Sì","No"))</f>
        <v/>
      </c>
      <c r="F70" s="58" t="str">
        <f aca="false">IF(G70="","",IF(E70="Sì",IF(D70="Giustificata","Conta come presenza",""),IF(INDEX(Giorni!$D$2:$D$367,G70)=1,"Festività: non conta",IF(INDEX(Giorni!$E$2:$E$367,G70)=1,"Chiusura: non conta","Fuori periodo: non conta"))))</f>
        <v/>
      </c>
      <c r="G70" s="0" t="str">
        <f aca="false">IFERROR(MATCH(66,Giorni!$N$2:$N$367,0),"")</f>
        <v/>
      </c>
    </row>
    <row r="71" customFormat="false" ht="15" hidden="false" customHeight="false" outlineLevel="0" collapsed="false">
      <c r="A71" s="56" t="str">
        <f aca="false">IF(G71="","",67)</f>
        <v/>
      </c>
      <c r="B71" s="57" t="str">
        <f aca="false">IF(G71="","",INDEX(Giorni!$A$2:$A$367,G71))</f>
        <v/>
      </c>
      <c r="C71" s="56" t="str">
        <f aca="false">IF(G71="","",CHOOSE(WEEKDAY(B71,2),"lunedì","martedì","mercoledì","giovedì","venerdì","sabato","domenica"))</f>
        <v/>
      </c>
      <c r="D71" s="56" t="str">
        <f aca="false">IF(G71="","",IF(INDEX(Giorni!$I$2:$I$367,G71)="A","Assenza","Giustificata"))</f>
        <v/>
      </c>
      <c r="E71" s="56" t="str">
        <f aca="false">IF(G71="","",IF(INDEX(Giorni!$F$2:$F$367,G71)=1,"Sì","No"))</f>
        <v/>
      </c>
      <c r="F71" s="56" t="str">
        <f aca="false">IF(G71="","",IF(E71="Sì",IF(D71="Giustificata","Conta come presenza",""),IF(INDEX(Giorni!$D$2:$D$367,G71)=1,"Festività: non conta",IF(INDEX(Giorni!$E$2:$E$367,G71)=1,"Chiusura: non conta","Fuori periodo: non conta"))))</f>
        <v/>
      </c>
      <c r="G71" s="0" t="str">
        <f aca="false">IFERROR(MATCH(67,Giorni!$N$2:$N$367,0),"")</f>
        <v/>
      </c>
    </row>
    <row r="72" customFormat="false" ht="15" hidden="false" customHeight="false" outlineLevel="0" collapsed="false">
      <c r="A72" s="58" t="str">
        <f aca="false">IF(G72="","",68)</f>
        <v/>
      </c>
      <c r="B72" s="59" t="str">
        <f aca="false">IF(G72="","",INDEX(Giorni!$A$2:$A$367,G72))</f>
        <v/>
      </c>
      <c r="C72" s="58" t="str">
        <f aca="false">IF(G72="","",CHOOSE(WEEKDAY(B72,2),"lunedì","martedì","mercoledì","giovedì","venerdì","sabato","domenica"))</f>
        <v/>
      </c>
      <c r="D72" s="58" t="str">
        <f aca="false">IF(G72="","",IF(INDEX(Giorni!$I$2:$I$367,G72)="A","Assenza","Giustificata"))</f>
        <v/>
      </c>
      <c r="E72" s="58" t="str">
        <f aca="false">IF(G72="","",IF(INDEX(Giorni!$F$2:$F$367,G72)=1,"Sì","No"))</f>
        <v/>
      </c>
      <c r="F72" s="58" t="str">
        <f aca="false">IF(G72="","",IF(E72="Sì",IF(D72="Giustificata","Conta come presenza",""),IF(INDEX(Giorni!$D$2:$D$367,G72)=1,"Festività: non conta",IF(INDEX(Giorni!$E$2:$E$367,G72)=1,"Chiusura: non conta","Fuori periodo: non conta"))))</f>
        <v/>
      </c>
      <c r="G72" s="0" t="str">
        <f aca="false">IFERROR(MATCH(68,Giorni!$N$2:$N$367,0),"")</f>
        <v/>
      </c>
    </row>
    <row r="73" customFormat="false" ht="15" hidden="false" customHeight="false" outlineLevel="0" collapsed="false">
      <c r="A73" s="56" t="str">
        <f aca="false">IF(G73="","",69)</f>
        <v/>
      </c>
      <c r="B73" s="57" t="str">
        <f aca="false">IF(G73="","",INDEX(Giorni!$A$2:$A$367,G73))</f>
        <v/>
      </c>
      <c r="C73" s="56" t="str">
        <f aca="false">IF(G73="","",CHOOSE(WEEKDAY(B73,2),"lunedì","martedì","mercoledì","giovedì","venerdì","sabato","domenica"))</f>
        <v/>
      </c>
      <c r="D73" s="56" t="str">
        <f aca="false">IF(G73="","",IF(INDEX(Giorni!$I$2:$I$367,G73)="A","Assenza","Giustificata"))</f>
        <v/>
      </c>
      <c r="E73" s="56" t="str">
        <f aca="false">IF(G73="","",IF(INDEX(Giorni!$F$2:$F$367,G73)=1,"Sì","No"))</f>
        <v/>
      </c>
      <c r="F73" s="56" t="str">
        <f aca="false">IF(G73="","",IF(E73="Sì",IF(D73="Giustificata","Conta come presenza",""),IF(INDEX(Giorni!$D$2:$D$367,G73)=1,"Festività: non conta",IF(INDEX(Giorni!$E$2:$E$367,G73)=1,"Chiusura: non conta","Fuori periodo: non conta"))))</f>
        <v/>
      </c>
      <c r="G73" s="0" t="str">
        <f aca="false">IFERROR(MATCH(69,Giorni!$N$2:$N$367,0),"")</f>
        <v/>
      </c>
    </row>
    <row r="74" customFormat="false" ht="15" hidden="false" customHeight="false" outlineLevel="0" collapsed="false">
      <c r="A74" s="58" t="str">
        <f aca="false">IF(G74="","",70)</f>
        <v/>
      </c>
      <c r="B74" s="59" t="str">
        <f aca="false">IF(G74="","",INDEX(Giorni!$A$2:$A$367,G74))</f>
        <v/>
      </c>
      <c r="C74" s="58" t="str">
        <f aca="false">IF(G74="","",CHOOSE(WEEKDAY(B74,2),"lunedì","martedì","mercoledì","giovedì","venerdì","sabato","domenica"))</f>
        <v/>
      </c>
      <c r="D74" s="58" t="str">
        <f aca="false">IF(G74="","",IF(INDEX(Giorni!$I$2:$I$367,G74)="A","Assenza","Giustificata"))</f>
        <v/>
      </c>
      <c r="E74" s="58" t="str">
        <f aca="false">IF(G74="","",IF(INDEX(Giorni!$F$2:$F$367,G74)=1,"Sì","No"))</f>
        <v/>
      </c>
      <c r="F74" s="58" t="str">
        <f aca="false">IF(G74="","",IF(E74="Sì",IF(D74="Giustificata","Conta come presenza",""),IF(INDEX(Giorni!$D$2:$D$367,G74)=1,"Festività: non conta",IF(INDEX(Giorni!$E$2:$E$367,G74)=1,"Chiusura: non conta","Fuori periodo: non conta"))))</f>
        <v/>
      </c>
      <c r="G74" s="0" t="str">
        <f aca="false">IFERROR(MATCH(70,Giorni!$N$2:$N$367,0),"")</f>
        <v/>
      </c>
    </row>
    <row r="75" customFormat="false" ht="15" hidden="false" customHeight="false" outlineLevel="0" collapsed="false">
      <c r="A75" s="56" t="str">
        <f aca="false">IF(G75="","",71)</f>
        <v/>
      </c>
      <c r="B75" s="57" t="str">
        <f aca="false">IF(G75="","",INDEX(Giorni!$A$2:$A$367,G75))</f>
        <v/>
      </c>
      <c r="C75" s="56" t="str">
        <f aca="false">IF(G75="","",CHOOSE(WEEKDAY(B75,2),"lunedì","martedì","mercoledì","giovedì","venerdì","sabato","domenica"))</f>
        <v/>
      </c>
      <c r="D75" s="56" t="str">
        <f aca="false">IF(G75="","",IF(INDEX(Giorni!$I$2:$I$367,G75)="A","Assenza","Giustificata"))</f>
        <v/>
      </c>
      <c r="E75" s="56" t="str">
        <f aca="false">IF(G75="","",IF(INDEX(Giorni!$F$2:$F$367,G75)=1,"Sì","No"))</f>
        <v/>
      </c>
      <c r="F75" s="56" t="str">
        <f aca="false">IF(G75="","",IF(E75="Sì",IF(D75="Giustificata","Conta come presenza",""),IF(INDEX(Giorni!$D$2:$D$367,G75)=1,"Festività: non conta",IF(INDEX(Giorni!$E$2:$E$367,G75)=1,"Chiusura: non conta","Fuori periodo: non conta"))))</f>
        <v/>
      </c>
      <c r="G75" s="0" t="str">
        <f aca="false">IFERROR(MATCH(71,Giorni!$N$2:$N$367,0),"")</f>
        <v/>
      </c>
    </row>
    <row r="76" customFormat="false" ht="15" hidden="false" customHeight="false" outlineLevel="0" collapsed="false">
      <c r="A76" s="58" t="str">
        <f aca="false">IF(G76="","",72)</f>
        <v/>
      </c>
      <c r="B76" s="59" t="str">
        <f aca="false">IF(G76="","",INDEX(Giorni!$A$2:$A$367,G76))</f>
        <v/>
      </c>
      <c r="C76" s="58" t="str">
        <f aca="false">IF(G76="","",CHOOSE(WEEKDAY(B76,2),"lunedì","martedì","mercoledì","giovedì","venerdì","sabato","domenica"))</f>
        <v/>
      </c>
      <c r="D76" s="58" t="str">
        <f aca="false">IF(G76="","",IF(INDEX(Giorni!$I$2:$I$367,G76)="A","Assenza","Giustificata"))</f>
        <v/>
      </c>
      <c r="E76" s="58" t="str">
        <f aca="false">IF(G76="","",IF(INDEX(Giorni!$F$2:$F$367,G76)=1,"Sì","No"))</f>
        <v/>
      </c>
      <c r="F76" s="58" t="str">
        <f aca="false">IF(G76="","",IF(E76="Sì",IF(D76="Giustificata","Conta come presenza",""),IF(INDEX(Giorni!$D$2:$D$367,G76)=1,"Festività: non conta",IF(INDEX(Giorni!$E$2:$E$367,G76)=1,"Chiusura: non conta","Fuori periodo: non conta"))))</f>
        <v/>
      </c>
      <c r="G76" s="0" t="str">
        <f aca="false">IFERROR(MATCH(72,Giorni!$N$2:$N$367,0),"")</f>
        <v/>
      </c>
    </row>
    <row r="77" customFormat="false" ht="15" hidden="false" customHeight="false" outlineLevel="0" collapsed="false">
      <c r="A77" s="56" t="str">
        <f aca="false">IF(G77="","",73)</f>
        <v/>
      </c>
      <c r="B77" s="57" t="str">
        <f aca="false">IF(G77="","",INDEX(Giorni!$A$2:$A$367,G77))</f>
        <v/>
      </c>
      <c r="C77" s="56" t="str">
        <f aca="false">IF(G77="","",CHOOSE(WEEKDAY(B77,2),"lunedì","martedì","mercoledì","giovedì","venerdì","sabato","domenica"))</f>
        <v/>
      </c>
      <c r="D77" s="56" t="str">
        <f aca="false">IF(G77="","",IF(INDEX(Giorni!$I$2:$I$367,G77)="A","Assenza","Giustificata"))</f>
        <v/>
      </c>
      <c r="E77" s="56" t="str">
        <f aca="false">IF(G77="","",IF(INDEX(Giorni!$F$2:$F$367,G77)=1,"Sì","No"))</f>
        <v/>
      </c>
      <c r="F77" s="56" t="str">
        <f aca="false">IF(G77="","",IF(E77="Sì",IF(D77="Giustificata","Conta come presenza",""),IF(INDEX(Giorni!$D$2:$D$367,G77)=1,"Festività: non conta",IF(INDEX(Giorni!$E$2:$E$367,G77)=1,"Chiusura: non conta","Fuori periodo: non conta"))))</f>
        <v/>
      </c>
      <c r="G77" s="0" t="str">
        <f aca="false">IFERROR(MATCH(73,Giorni!$N$2:$N$367,0),"")</f>
        <v/>
      </c>
    </row>
    <row r="78" customFormat="false" ht="15" hidden="false" customHeight="false" outlineLevel="0" collapsed="false">
      <c r="A78" s="58" t="str">
        <f aca="false">IF(G78="","",74)</f>
        <v/>
      </c>
      <c r="B78" s="59" t="str">
        <f aca="false">IF(G78="","",INDEX(Giorni!$A$2:$A$367,G78))</f>
        <v/>
      </c>
      <c r="C78" s="58" t="str">
        <f aca="false">IF(G78="","",CHOOSE(WEEKDAY(B78,2),"lunedì","martedì","mercoledì","giovedì","venerdì","sabato","domenica"))</f>
        <v/>
      </c>
      <c r="D78" s="58" t="str">
        <f aca="false">IF(G78="","",IF(INDEX(Giorni!$I$2:$I$367,G78)="A","Assenza","Giustificata"))</f>
        <v/>
      </c>
      <c r="E78" s="58" t="str">
        <f aca="false">IF(G78="","",IF(INDEX(Giorni!$F$2:$F$367,G78)=1,"Sì","No"))</f>
        <v/>
      </c>
      <c r="F78" s="58" t="str">
        <f aca="false">IF(G78="","",IF(E78="Sì",IF(D78="Giustificata","Conta come presenza",""),IF(INDEX(Giorni!$D$2:$D$367,G78)=1,"Festività: non conta",IF(INDEX(Giorni!$E$2:$E$367,G78)=1,"Chiusura: non conta","Fuori periodo: non conta"))))</f>
        <v/>
      </c>
      <c r="G78" s="0" t="str">
        <f aca="false">IFERROR(MATCH(74,Giorni!$N$2:$N$367,0),"")</f>
        <v/>
      </c>
    </row>
    <row r="79" customFormat="false" ht="15" hidden="false" customHeight="false" outlineLevel="0" collapsed="false">
      <c r="A79" s="56" t="str">
        <f aca="false">IF(G79="","",75)</f>
        <v/>
      </c>
      <c r="B79" s="57" t="str">
        <f aca="false">IF(G79="","",INDEX(Giorni!$A$2:$A$367,G79))</f>
        <v/>
      </c>
      <c r="C79" s="56" t="str">
        <f aca="false">IF(G79="","",CHOOSE(WEEKDAY(B79,2),"lunedì","martedì","mercoledì","giovedì","venerdì","sabato","domenica"))</f>
        <v/>
      </c>
      <c r="D79" s="56" t="str">
        <f aca="false">IF(G79="","",IF(INDEX(Giorni!$I$2:$I$367,G79)="A","Assenza","Giustificata"))</f>
        <v/>
      </c>
      <c r="E79" s="56" t="str">
        <f aca="false">IF(G79="","",IF(INDEX(Giorni!$F$2:$F$367,G79)=1,"Sì","No"))</f>
        <v/>
      </c>
      <c r="F79" s="56" t="str">
        <f aca="false">IF(G79="","",IF(E79="Sì",IF(D79="Giustificata","Conta come presenza",""),IF(INDEX(Giorni!$D$2:$D$367,G79)=1,"Festività: non conta",IF(INDEX(Giorni!$E$2:$E$367,G79)=1,"Chiusura: non conta","Fuori periodo: non conta"))))</f>
        <v/>
      </c>
      <c r="G79" s="0" t="str">
        <f aca="false">IFERROR(MATCH(75,Giorni!$N$2:$N$367,0),"")</f>
        <v/>
      </c>
    </row>
    <row r="80" customFormat="false" ht="15" hidden="false" customHeight="false" outlineLevel="0" collapsed="false">
      <c r="A80" s="58" t="str">
        <f aca="false">IF(G80="","",76)</f>
        <v/>
      </c>
      <c r="B80" s="59" t="str">
        <f aca="false">IF(G80="","",INDEX(Giorni!$A$2:$A$367,G80))</f>
        <v/>
      </c>
      <c r="C80" s="58" t="str">
        <f aca="false">IF(G80="","",CHOOSE(WEEKDAY(B80,2),"lunedì","martedì","mercoledì","giovedì","venerdì","sabato","domenica"))</f>
        <v/>
      </c>
      <c r="D80" s="58" t="str">
        <f aca="false">IF(G80="","",IF(INDEX(Giorni!$I$2:$I$367,G80)="A","Assenza","Giustificata"))</f>
        <v/>
      </c>
      <c r="E80" s="58" t="str">
        <f aca="false">IF(G80="","",IF(INDEX(Giorni!$F$2:$F$367,G80)=1,"Sì","No"))</f>
        <v/>
      </c>
      <c r="F80" s="58" t="str">
        <f aca="false">IF(G80="","",IF(E80="Sì",IF(D80="Giustificata","Conta come presenza",""),IF(INDEX(Giorni!$D$2:$D$367,G80)=1,"Festività: non conta",IF(INDEX(Giorni!$E$2:$E$367,G80)=1,"Chiusura: non conta","Fuori periodo: non conta"))))</f>
        <v/>
      </c>
      <c r="G80" s="0" t="str">
        <f aca="false">IFERROR(MATCH(76,Giorni!$N$2:$N$367,0),"")</f>
        <v/>
      </c>
    </row>
    <row r="81" customFormat="false" ht="15" hidden="false" customHeight="false" outlineLevel="0" collapsed="false">
      <c r="A81" s="56" t="str">
        <f aca="false">IF(G81="","",77)</f>
        <v/>
      </c>
      <c r="B81" s="57" t="str">
        <f aca="false">IF(G81="","",INDEX(Giorni!$A$2:$A$367,G81))</f>
        <v/>
      </c>
      <c r="C81" s="56" t="str">
        <f aca="false">IF(G81="","",CHOOSE(WEEKDAY(B81,2),"lunedì","martedì","mercoledì","giovedì","venerdì","sabato","domenica"))</f>
        <v/>
      </c>
      <c r="D81" s="56" t="str">
        <f aca="false">IF(G81="","",IF(INDEX(Giorni!$I$2:$I$367,G81)="A","Assenza","Giustificata"))</f>
        <v/>
      </c>
      <c r="E81" s="56" t="str">
        <f aca="false">IF(G81="","",IF(INDEX(Giorni!$F$2:$F$367,G81)=1,"Sì","No"))</f>
        <v/>
      </c>
      <c r="F81" s="56" t="str">
        <f aca="false">IF(G81="","",IF(E81="Sì",IF(D81="Giustificata","Conta come presenza",""),IF(INDEX(Giorni!$D$2:$D$367,G81)=1,"Festività: non conta",IF(INDEX(Giorni!$E$2:$E$367,G81)=1,"Chiusura: non conta","Fuori periodo: non conta"))))</f>
        <v/>
      </c>
      <c r="G81" s="0" t="str">
        <f aca="false">IFERROR(MATCH(77,Giorni!$N$2:$N$367,0),"")</f>
        <v/>
      </c>
    </row>
    <row r="82" customFormat="false" ht="15" hidden="false" customHeight="false" outlineLevel="0" collapsed="false">
      <c r="A82" s="58" t="str">
        <f aca="false">IF(G82="","",78)</f>
        <v/>
      </c>
      <c r="B82" s="59" t="str">
        <f aca="false">IF(G82="","",INDEX(Giorni!$A$2:$A$367,G82))</f>
        <v/>
      </c>
      <c r="C82" s="58" t="str">
        <f aca="false">IF(G82="","",CHOOSE(WEEKDAY(B82,2),"lunedì","martedì","mercoledì","giovedì","venerdì","sabato","domenica"))</f>
        <v/>
      </c>
      <c r="D82" s="58" t="str">
        <f aca="false">IF(G82="","",IF(INDEX(Giorni!$I$2:$I$367,G82)="A","Assenza","Giustificata"))</f>
        <v/>
      </c>
      <c r="E82" s="58" t="str">
        <f aca="false">IF(G82="","",IF(INDEX(Giorni!$F$2:$F$367,G82)=1,"Sì","No"))</f>
        <v/>
      </c>
      <c r="F82" s="58" t="str">
        <f aca="false">IF(G82="","",IF(E82="Sì",IF(D82="Giustificata","Conta come presenza",""),IF(INDEX(Giorni!$D$2:$D$367,G82)=1,"Festività: non conta",IF(INDEX(Giorni!$E$2:$E$367,G82)=1,"Chiusura: non conta","Fuori periodo: non conta"))))</f>
        <v/>
      </c>
      <c r="G82" s="0" t="str">
        <f aca="false">IFERROR(MATCH(78,Giorni!$N$2:$N$367,0),"")</f>
        <v/>
      </c>
    </row>
    <row r="83" customFormat="false" ht="15" hidden="false" customHeight="false" outlineLevel="0" collapsed="false">
      <c r="A83" s="56" t="str">
        <f aca="false">IF(G83="","",79)</f>
        <v/>
      </c>
      <c r="B83" s="57" t="str">
        <f aca="false">IF(G83="","",INDEX(Giorni!$A$2:$A$367,G83))</f>
        <v/>
      </c>
      <c r="C83" s="56" t="str">
        <f aca="false">IF(G83="","",CHOOSE(WEEKDAY(B83,2),"lunedì","martedì","mercoledì","giovedì","venerdì","sabato","domenica"))</f>
        <v/>
      </c>
      <c r="D83" s="56" t="str">
        <f aca="false">IF(G83="","",IF(INDEX(Giorni!$I$2:$I$367,G83)="A","Assenza","Giustificata"))</f>
        <v/>
      </c>
      <c r="E83" s="56" t="str">
        <f aca="false">IF(G83="","",IF(INDEX(Giorni!$F$2:$F$367,G83)=1,"Sì","No"))</f>
        <v/>
      </c>
      <c r="F83" s="56" t="str">
        <f aca="false">IF(G83="","",IF(E83="Sì",IF(D83="Giustificata","Conta come presenza",""),IF(INDEX(Giorni!$D$2:$D$367,G83)=1,"Festività: non conta",IF(INDEX(Giorni!$E$2:$E$367,G83)=1,"Chiusura: non conta","Fuori periodo: non conta"))))</f>
        <v/>
      </c>
      <c r="G83" s="0" t="str">
        <f aca="false">IFERROR(MATCH(79,Giorni!$N$2:$N$367,0),"")</f>
        <v/>
      </c>
    </row>
    <row r="84" customFormat="false" ht="15" hidden="false" customHeight="false" outlineLevel="0" collapsed="false">
      <c r="A84" s="58" t="str">
        <f aca="false">IF(G84="","",80)</f>
        <v/>
      </c>
      <c r="B84" s="59" t="str">
        <f aca="false">IF(G84="","",INDEX(Giorni!$A$2:$A$367,G84))</f>
        <v/>
      </c>
      <c r="C84" s="58" t="str">
        <f aca="false">IF(G84="","",CHOOSE(WEEKDAY(B84,2),"lunedì","martedì","mercoledì","giovedì","venerdì","sabato","domenica"))</f>
        <v/>
      </c>
      <c r="D84" s="58" t="str">
        <f aca="false">IF(G84="","",IF(INDEX(Giorni!$I$2:$I$367,G84)="A","Assenza","Giustificata"))</f>
        <v/>
      </c>
      <c r="E84" s="58" t="str">
        <f aca="false">IF(G84="","",IF(INDEX(Giorni!$F$2:$F$367,G84)=1,"Sì","No"))</f>
        <v/>
      </c>
      <c r="F84" s="58" t="str">
        <f aca="false">IF(G84="","",IF(E84="Sì",IF(D84="Giustificata","Conta come presenza",""),IF(INDEX(Giorni!$D$2:$D$367,G84)=1,"Festività: non conta",IF(INDEX(Giorni!$E$2:$E$367,G84)=1,"Chiusura: non conta","Fuori periodo: non conta"))))</f>
        <v/>
      </c>
      <c r="G84" s="0" t="str">
        <f aca="false">IFERROR(MATCH(80,Giorni!$N$2:$N$367,0),"")</f>
        <v/>
      </c>
    </row>
    <row r="85" customFormat="false" ht="15" hidden="false" customHeight="false" outlineLevel="0" collapsed="false">
      <c r="A85" s="56" t="str">
        <f aca="false">IF(G85="","",81)</f>
        <v/>
      </c>
      <c r="B85" s="57" t="str">
        <f aca="false">IF(G85="","",INDEX(Giorni!$A$2:$A$367,G85))</f>
        <v/>
      </c>
      <c r="C85" s="56" t="str">
        <f aca="false">IF(G85="","",CHOOSE(WEEKDAY(B85,2),"lunedì","martedì","mercoledì","giovedì","venerdì","sabato","domenica"))</f>
        <v/>
      </c>
      <c r="D85" s="56" t="str">
        <f aca="false">IF(G85="","",IF(INDEX(Giorni!$I$2:$I$367,G85)="A","Assenza","Giustificata"))</f>
        <v/>
      </c>
      <c r="E85" s="56" t="str">
        <f aca="false">IF(G85="","",IF(INDEX(Giorni!$F$2:$F$367,G85)=1,"Sì","No"))</f>
        <v/>
      </c>
      <c r="F85" s="56" t="str">
        <f aca="false">IF(G85="","",IF(E85="Sì",IF(D85="Giustificata","Conta come presenza",""),IF(INDEX(Giorni!$D$2:$D$367,G85)=1,"Festività: non conta",IF(INDEX(Giorni!$E$2:$E$367,G85)=1,"Chiusura: non conta","Fuori periodo: non conta"))))</f>
        <v/>
      </c>
      <c r="G85" s="0" t="str">
        <f aca="false">IFERROR(MATCH(81,Giorni!$N$2:$N$367,0),"")</f>
        <v/>
      </c>
    </row>
    <row r="86" customFormat="false" ht="15" hidden="false" customHeight="false" outlineLevel="0" collapsed="false">
      <c r="A86" s="58" t="str">
        <f aca="false">IF(G86="","",82)</f>
        <v/>
      </c>
      <c r="B86" s="59" t="str">
        <f aca="false">IF(G86="","",INDEX(Giorni!$A$2:$A$367,G86))</f>
        <v/>
      </c>
      <c r="C86" s="58" t="str">
        <f aca="false">IF(G86="","",CHOOSE(WEEKDAY(B86,2),"lunedì","martedì","mercoledì","giovedì","venerdì","sabato","domenica"))</f>
        <v/>
      </c>
      <c r="D86" s="58" t="str">
        <f aca="false">IF(G86="","",IF(INDEX(Giorni!$I$2:$I$367,G86)="A","Assenza","Giustificata"))</f>
        <v/>
      </c>
      <c r="E86" s="58" t="str">
        <f aca="false">IF(G86="","",IF(INDEX(Giorni!$F$2:$F$367,G86)=1,"Sì","No"))</f>
        <v/>
      </c>
      <c r="F86" s="58" t="str">
        <f aca="false">IF(G86="","",IF(E86="Sì",IF(D86="Giustificata","Conta come presenza",""),IF(INDEX(Giorni!$D$2:$D$367,G86)=1,"Festività: non conta",IF(INDEX(Giorni!$E$2:$E$367,G86)=1,"Chiusura: non conta","Fuori periodo: non conta"))))</f>
        <v/>
      </c>
      <c r="G86" s="0" t="str">
        <f aca="false">IFERROR(MATCH(82,Giorni!$N$2:$N$367,0),"")</f>
        <v/>
      </c>
    </row>
    <row r="87" customFormat="false" ht="15" hidden="false" customHeight="false" outlineLevel="0" collapsed="false">
      <c r="A87" s="56" t="str">
        <f aca="false">IF(G87="","",83)</f>
        <v/>
      </c>
      <c r="B87" s="57" t="str">
        <f aca="false">IF(G87="","",INDEX(Giorni!$A$2:$A$367,G87))</f>
        <v/>
      </c>
      <c r="C87" s="56" t="str">
        <f aca="false">IF(G87="","",CHOOSE(WEEKDAY(B87,2),"lunedì","martedì","mercoledì","giovedì","venerdì","sabato","domenica"))</f>
        <v/>
      </c>
      <c r="D87" s="56" t="str">
        <f aca="false">IF(G87="","",IF(INDEX(Giorni!$I$2:$I$367,G87)="A","Assenza","Giustificata"))</f>
        <v/>
      </c>
      <c r="E87" s="56" t="str">
        <f aca="false">IF(G87="","",IF(INDEX(Giorni!$F$2:$F$367,G87)=1,"Sì","No"))</f>
        <v/>
      </c>
      <c r="F87" s="56" t="str">
        <f aca="false">IF(G87="","",IF(E87="Sì",IF(D87="Giustificata","Conta come presenza",""),IF(INDEX(Giorni!$D$2:$D$367,G87)=1,"Festività: non conta",IF(INDEX(Giorni!$E$2:$E$367,G87)=1,"Chiusura: non conta","Fuori periodo: non conta"))))</f>
        <v/>
      </c>
      <c r="G87" s="0" t="str">
        <f aca="false">IFERROR(MATCH(83,Giorni!$N$2:$N$367,0),"")</f>
        <v/>
      </c>
    </row>
    <row r="88" customFormat="false" ht="15" hidden="false" customHeight="false" outlineLevel="0" collapsed="false">
      <c r="A88" s="58" t="str">
        <f aca="false">IF(G88="","",84)</f>
        <v/>
      </c>
      <c r="B88" s="59" t="str">
        <f aca="false">IF(G88="","",INDEX(Giorni!$A$2:$A$367,G88))</f>
        <v/>
      </c>
      <c r="C88" s="58" t="str">
        <f aca="false">IF(G88="","",CHOOSE(WEEKDAY(B88,2),"lunedì","martedì","mercoledì","giovedì","venerdì","sabato","domenica"))</f>
        <v/>
      </c>
      <c r="D88" s="58" t="str">
        <f aca="false">IF(G88="","",IF(INDEX(Giorni!$I$2:$I$367,G88)="A","Assenza","Giustificata"))</f>
        <v/>
      </c>
      <c r="E88" s="58" t="str">
        <f aca="false">IF(G88="","",IF(INDEX(Giorni!$F$2:$F$367,G88)=1,"Sì","No"))</f>
        <v/>
      </c>
      <c r="F88" s="58" t="str">
        <f aca="false">IF(G88="","",IF(E88="Sì",IF(D88="Giustificata","Conta come presenza",""),IF(INDEX(Giorni!$D$2:$D$367,G88)=1,"Festività: non conta",IF(INDEX(Giorni!$E$2:$E$367,G88)=1,"Chiusura: non conta","Fuori periodo: non conta"))))</f>
        <v/>
      </c>
      <c r="G88" s="0" t="str">
        <f aca="false">IFERROR(MATCH(84,Giorni!$N$2:$N$367,0),"")</f>
        <v/>
      </c>
    </row>
    <row r="89" customFormat="false" ht="15" hidden="false" customHeight="false" outlineLevel="0" collapsed="false">
      <c r="A89" s="56" t="str">
        <f aca="false">IF(G89="","",85)</f>
        <v/>
      </c>
      <c r="B89" s="57" t="str">
        <f aca="false">IF(G89="","",INDEX(Giorni!$A$2:$A$367,G89))</f>
        <v/>
      </c>
      <c r="C89" s="56" t="str">
        <f aca="false">IF(G89="","",CHOOSE(WEEKDAY(B89,2),"lunedì","martedì","mercoledì","giovedì","venerdì","sabato","domenica"))</f>
        <v/>
      </c>
      <c r="D89" s="56" t="str">
        <f aca="false">IF(G89="","",IF(INDEX(Giorni!$I$2:$I$367,G89)="A","Assenza","Giustificata"))</f>
        <v/>
      </c>
      <c r="E89" s="56" t="str">
        <f aca="false">IF(G89="","",IF(INDEX(Giorni!$F$2:$F$367,G89)=1,"Sì","No"))</f>
        <v/>
      </c>
      <c r="F89" s="56" t="str">
        <f aca="false">IF(G89="","",IF(E89="Sì",IF(D89="Giustificata","Conta come presenza",""),IF(INDEX(Giorni!$D$2:$D$367,G89)=1,"Festività: non conta",IF(INDEX(Giorni!$E$2:$E$367,G89)=1,"Chiusura: non conta","Fuori periodo: non conta"))))</f>
        <v/>
      </c>
      <c r="G89" s="0" t="str">
        <f aca="false">IFERROR(MATCH(85,Giorni!$N$2:$N$367,0),"")</f>
        <v/>
      </c>
    </row>
    <row r="90" customFormat="false" ht="15" hidden="false" customHeight="false" outlineLevel="0" collapsed="false">
      <c r="A90" s="58" t="str">
        <f aca="false">IF(G90="","",86)</f>
        <v/>
      </c>
      <c r="B90" s="59" t="str">
        <f aca="false">IF(G90="","",INDEX(Giorni!$A$2:$A$367,G90))</f>
        <v/>
      </c>
      <c r="C90" s="58" t="str">
        <f aca="false">IF(G90="","",CHOOSE(WEEKDAY(B90,2),"lunedì","martedì","mercoledì","giovedì","venerdì","sabato","domenica"))</f>
        <v/>
      </c>
      <c r="D90" s="58" t="str">
        <f aca="false">IF(G90="","",IF(INDEX(Giorni!$I$2:$I$367,G90)="A","Assenza","Giustificata"))</f>
        <v/>
      </c>
      <c r="E90" s="58" t="str">
        <f aca="false">IF(G90="","",IF(INDEX(Giorni!$F$2:$F$367,G90)=1,"Sì","No"))</f>
        <v/>
      </c>
      <c r="F90" s="58" t="str">
        <f aca="false">IF(G90="","",IF(E90="Sì",IF(D90="Giustificata","Conta come presenza",""),IF(INDEX(Giorni!$D$2:$D$367,G90)=1,"Festività: non conta",IF(INDEX(Giorni!$E$2:$E$367,G90)=1,"Chiusura: non conta","Fuori periodo: non conta"))))</f>
        <v/>
      </c>
      <c r="G90" s="0" t="str">
        <f aca="false">IFERROR(MATCH(86,Giorni!$N$2:$N$367,0),"")</f>
        <v/>
      </c>
    </row>
    <row r="91" customFormat="false" ht="15" hidden="false" customHeight="false" outlineLevel="0" collapsed="false">
      <c r="A91" s="56" t="str">
        <f aca="false">IF(G91="","",87)</f>
        <v/>
      </c>
      <c r="B91" s="57" t="str">
        <f aca="false">IF(G91="","",INDEX(Giorni!$A$2:$A$367,G91))</f>
        <v/>
      </c>
      <c r="C91" s="56" t="str">
        <f aca="false">IF(G91="","",CHOOSE(WEEKDAY(B91,2),"lunedì","martedì","mercoledì","giovedì","venerdì","sabato","domenica"))</f>
        <v/>
      </c>
      <c r="D91" s="56" t="str">
        <f aca="false">IF(G91="","",IF(INDEX(Giorni!$I$2:$I$367,G91)="A","Assenza","Giustificata"))</f>
        <v/>
      </c>
      <c r="E91" s="56" t="str">
        <f aca="false">IF(G91="","",IF(INDEX(Giorni!$F$2:$F$367,G91)=1,"Sì","No"))</f>
        <v/>
      </c>
      <c r="F91" s="56" t="str">
        <f aca="false">IF(G91="","",IF(E91="Sì",IF(D91="Giustificata","Conta come presenza",""),IF(INDEX(Giorni!$D$2:$D$367,G91)=1,"Festività: non conta",IF(INDEX(Giorni!$E$2:$E$367,G91)=1,"Chiusura: non conta","Fuori periodo: non conta"))))</f>
        <v/>
      </c>
      <c r="G91" s="0" t="str">
        <f aca="false">IFERROR(MATCH(87,Giorni!$N$2:$N$367,0),"")</f>
        <v/>
      </c>
    </row>
    <row r="92" customFormat="false" ht="15" hidden="false" customHeight="false" outlineLevel="0" collapsed="false">
      <c r="A92" s="58" t="str">
        <f aca="false">IF(G92="","",88)</f>
        <v/>
      </c>
      <c r="B92" s="59" t="str">
        <f aca="false">IF(G92="","",INDEX(Giorni!$A$2:$A$367,G92))</f>
        <v/>
      </c>
      <c r="C92" s="58" t="str">
        <f aca="false">IF(G92="","",CHOOSE(WEEKDAY(B92,2),"lunedì","martedì","mercoledì","giovedì","venerdì","sabato","domenica"))</f>
        <v/>
      </c>
      <c r="D92" s="58" t="str">
        <f aca="false">IF(G92="","",IF(INDEX(Giorni!$I$2:$I$367,G92)="A","Assenza","Giustificata"))</f>
        <v/>
      </c>
      <c r="E92" s="58" t="str">
        <f aca="false">IF(G92="","",IF(INDEX(Giorni!$F$2:$F$367,G92)=1,"Sì","No"))</f>
        <v/>
      </c>
      <c r="F92" s="58" t="str">
        <f aca="false">IF(G92="","",IF(E92="Sì",IF(D92="Giustificata","Conta come presenza",""),IF(INDEX(Giorni!$D$2:$D$367,G92)=1,"Festività: non conta",IF(INDEX(Giorni!$E$2:$E$367,G92)=1,"Chiusura: non conta","Fuori periodo: non conta"))))</f>
        <v/>
      </c>
      <c r="G92" s="0" t="str">
        <f aca="false">IFERROR(MATCH(88,Giorni!$N$2:$N$367,0),"")</f>
        <v/>
      </c>
    </row>
    <row r="93" customFormat="false" ht="15" hidden="false" customHeight="false" outlineLevel="0" collapsed="false">
      <c r="A93" s="56" t="str">
        <f aca="false">IF(G93="","",89)</f>
        <v/>
      </c>
      <c r="B93" s="57" t="str">
        <f aca="false">IF(G93="","",INDEX(Giorni!$A$2:$A$367,G93))</f>
        <v/>
      </c>
      <c r="C93" s="56" t="str">
        <f aca="false">IF(G93="","",CHOOSE(WEEKDAY(B93,2),"lunedì","martedì","mercoledì","giovedì","venerdì","sabato","domenica"))</f>
        <v/>
      </c>
      <c r="D93" s="56" t="str">
        <f aca="false">IF(G93="","",IF(INDEX(Giorni!$I$2:$I$367,G93)="A","Assenza","Giustificata"))</f>
        <v/>
      </c>
      <c r="E93" s="56" t="str">
        <f aca="false">IF(G93="","",IF(INDEX(Giorni!$F$2:$F$367,G93)=1,"Sì","No"))</f>
        <v/>
      </c>
      <c r="F93" s="56" t="str">
        <f aca="false">IF(G93="","",IF(E93="Sì",IF(D93="Giustificata","Conta come presenza",""),IF(INDEX(Giorni!$D$2:$D$367,G93)=1,"Festività: non conta",IF(INDEX(Giorni!$E$2:$E$367,G93)=1,"Chiusura: non conta","Fuori periodo: non conta"))))</f>
        <v/>
      </c>
      <c r="G93" s="0" t="str">
        <f aca="false">IFERROR(MATCH(89,Giorni!$N$2:$N$367,0),"")</f>
        <v/>
      </c>
    </row>
    <row r="94" customFormat="false" ht="15" hidden="false" customHeight="false" outlineLevel="0" collapsed="false">
      <c r="A94" s="58" t="str">
        <f aca="false">IF(G94="","",90)</f>
        <v/>
      </c>
      <c r="B94" s="59" t="str">
        <f aca="false">IF(G94="","",INDEX(Giorni!$A$2:$A$367,G94))</f>
        <v/>
      </c>
      <c r="C94" s="58" t="str">
        <f aca="false">IF(G94="","",CHOOSE(WEEKDAY(B94,2),"lunedì","martedì","mercoledì","giovedì","venerdì","sabato","domenica"))</f>
        <v/>
      </c>
      <c r="D94" s="58" t="str">
        <f aca="false">IF(G94="","",IF(INDEX(Giorni!$I$2:$I$367,G94)="A","Assenza","Giustificata"))</f>
        <v/>
      </c>
      <c r="E94" s="58" t="str">
        <f aca="false">IF(G94="","",IF(INDEX(Giorni!$F$2:$F$367,G94)=1,"Sì","No"))</f>
        <v/>
      </c>
      <c r="F94" s="58" t="str">
        <f aca="false">IF(G94="","",IF(E94="Sì",IF(D94="Giustificata","Conta come presenza",""),IF(INDEX(Giorni!$D$2:$D$367,G94)=1,"Festività: non conta",IF(INDEX(Giorni!$E$2:$E$367,G94)=1,"Chiusura: non conta","Fuori periodo: non conta"))))</f>
        <v/>
      </c>
      <c r="G94" s="0" t="str">
        <f aca="false">IFERROR(MATCH(90,Giorni!$N$2:$N$367,0),"")</f>
        <v/>
      </c>
    </row>
    <row r="95" customFormat="false" ht="15" hidden="false" customHeight="false" outlineLevel="0" collapsed="false">
      <c r="A95" s="56" t="str">
        <f aca="false">IF(G95="","",91)</f>
        <v/>
      </c>
      <c r="B95" s="57" t="str">
        <f aca="false">IF(G95="","",INDEX(Giorni!$A$2:$A$367,G95))</f>
        <v/>
      </c>
      <c r="C95" s="56" t="str">
        <f aca="false">IF(G95="","",CHOOSE(WEEKDAY(B95,2),"lunedì","martedì","mercoledì","giovedì","venerdì","sabato","domenica"))</f>
        <v/>
      </c>
      <c r="D95" s="56" t="str">
        <f aca="false">IF(G95="","",IF(INDEX(Giorni!$I$2:$I$367,G95)="A","Assenza","Giustificata"))</f>
        <v/>
      </c>
      <c r="E95" s="56" t="str">
        <f aca="false">IF(G95="","",IF(INDEX(Giorni!$F$2:$F$367,G95)=1,"Sì","No"))</f>
        <v/>
      </c>
      <c r="F95" s="56" t="str">
        <f aca="false">IF(G95="","",IF(E95="Sì",IF(D95="Giustificata","Conta come presenza",""),IF(INDEX(Giorni!$D$2:$D$367,G95)=1,"Festività: non conta",IF(INDEX(Giorni!$E$2:$E$367,G95)=1,"Chiusura: non conta","Fuori periodo: non conta"))))</f>
        <v/>
      </c>
      <c r="G95" s="0" t="str">
        <f aca="false">IFERROR(MATCH(91,Giorni!$N$2:$N$367,0),"")</f>
        <v/>
      </c>
    </row>
    <row r="96" customFormat="false" ht="15" hidden="false" customHeight="false" outlineLevel="0" collapsed="false">
      <c r="A96" s="58" t="str">
        <f aca="false">IF(G96="","",92)</f>
        <v/>
      </c>
      <c r="B96" s="59" t="str">
        <f aca="false">IF(G96="","",INDEX(Giorni!$A$2:$A$367,G96))</f>
        <v/>
      </c>
      <c r="C96" s="58" t="str">
        <f aca="false">IF(G96="","",CHOOSE(WEEKDAY(B96,2),"lunedì","martedì","mercoledì","giovedì","venerdì","sabato","domenica"))</f>
        <v/>
      </c>
      <c r="D96" s="58" t="str">
        <f aca="false">IF(G96="","",IF(INDEX(Giorni!$I$2:$I$367,G96)="A","Assenza","Giustificata"))</f>
        <v/>
      </c>
      <c r="E96" s="58" t="str">
        <f aca="false">IF(G96="","",IF(INDEX(Giorni!$F$2:$F$367,G96)=1,"Sì","No"))</f>
        <v/>
      </c>
      <c r="F96" s="58" t="str">
        <f aca="false">IF(G96="","",IF(E96="Sì",IF(D96="Giustificata","Conta come presenza",""),IF(INDEX(Giorni!$D$2:$D$367,G96)=1,"Festività: non conta",IF(INDEX(Giorni!$E$2:$E$367,G96)=1,"Chiusura: non conta","Fuori periodo: non conta"))))</f>
        <v/>
      </c>
      <c r="G96" s="0" t="str">
        <f aca="false">IFERROR(MATCH(92,Giorni!$N$2:$N$367,0),"")</f>
        <v/>
      </c>
    </row>
    <row r="97" customFormat="false" ht="15" hidden="false" customHeight="false" outlineLevel="0" collapsed="false">
      <c r="A97" s="56" t="str">
        <f aca="false">IF(G97="","",93)</f>
        <v/>
      </c>
      <c r="B97" s="57" t="str">
        <f aca="false">IF(G97="","",INDEX(Giorni!$A$2:$A$367,G97))</f>
        <v/>
      </c>
      <c r="C97" s="56" t="str">
        <f aca="false">IF(G97="","",CHOOSE(WEEKDAY(B97,2),"lunedì","martedì","mercoledì","giovedì","venerdì","sabato","domenica"))</f>
        <v/>
      </c>
      <c r="D97" s="56" t="str">
        <f aca="false">IF(G97="","",IF(INDEX(Giorni!$I$2:$I$367,G97)="A","Assenza","Giustificata"))</f>
        <v/>
      </c>
      <c r="E97" s="56" t="str">
        <f aca="false">IF(G97="","",IF(INDEX(Giorni!$F$2:$F$367,G97)=1,"Sì","No"))</f>
        <v/>
      </c>
      <c r="F97" s="56" t="str">
        <f aca="false">IF(G97="","",IF(E97="Sì",IF(D97="Giustificata","Conta come presenza",""),IF(INDEX(Giorni!$D$2:$D$367,G97)=1,"Festività: non conta",IF(INDEX(Giorni!$E$2:$E$367,G97)=1,"Chiusura: non conta","Fuori periodo: non conta"))))</f>
        <v/>
      </c>
      <c r="G97" s="0" t="str">
        <f aca="false">IFERROR(MATCH(93,Giorni!$N$2:$N$367,0),"")</f>
        <v/>
      </c>
    </row>
    <row r="98" customFormat="false" ht="15" hidden="false" customHeight="false" outlineLevel="0" collapsed="false">
      <c r="A98" s="58" t="str">
        <f aca="false">IF(G98="","",94)</f>
        <v/>
      </c>
      <c r="B98" s="59" t="str">
        <f aca="false">IF(G98="","",INDEX(Giorni!$A$2:$A$367,G98))</f>
        <v/>
      </c>
      <c r="C98" s="58" t="str">
        <f aca="false">IF(G98="","",CHOOSE(WEEKDAY(B98,2),"lunedì","martedì","mercoledì","giovedì","venerdì","sabato","domenica"))</f>
        <v/>
      </c>
      <c r="D98" s="58" t="str">
        <f aca="false">IF(G98="","",IF(INDEX(Giorni!$I$2:$I$367,G98)="A","Assenza","Giustificata"))</f>
        <v/>
      </c>
      <c r="E98" s="58" t="str">
        <f aca="false">IF(G98="","",IF(INDEX(Giorni!$F$2:$F$367,G98)=1,"Sì","No"))</f>
        <v/>
      </c>
      <c r="F98" s="58" t="str">
        <f aca="false">IF(G98="","",IF(E98="Sì",IF(D98="Giustificata","Conta come presenza",""),IF(INDEX(Giorni!$D$2:$D$367,G98)=1,"Festività: non conta",IF(INDEX(Giorni!$E$2:$E$367,G98)=1,"Chiusura: non conta","Fuori periodo: non conta"))))</f>
        <v/>
      </c>
      <c r="G98" s="0" t="str">
        <f aca="false">IFERROR(MATCH(94,Giorni!$N$2:$N$367,0),"")</f>
        <v/>
      </c>
    </row>
    <row r="99" customFormat="false" ht="15" hidden="false" customHeight="false" outlineLevel="0" collapsed="false">
      <c r="A99" s="56" t="str">
        <f aca="false">IF(G99="","",95)</f>
        <v/>
      </c>
      <c r="B99" s="57" t="str">
        <f aca="false">IF(G99="","",INDEX(Giorni!$A$2:$A$367,G99))</f>
        <v/>
      </c>
      <c r="C99" s="56" t="str">
        <f aca="false">IF(G99="","",CHOOSE(WEEKDAY(B99,2),"lunedì","martedì","mercoledì","giovedì","venerdì","sabato","domenica"))</f>
        <v/>
      </c>
      <c r="D99" s="56" t="str">
        <f aca="false">IF(G99="","",IF(INDEX(Giorni!$I$2:$I$367,G99)="A","Assenza","Giustificata"))</f>
        <v/>
      </c>
      <c r="E99" s="56" t="str">
        <f aca="false">IF(G99="","",IF(INDEX(Giorni!$F$2:$F$367,G99)=1,"Sì","No"))</f>
        <v/>
      </c>
      <c r="F99" s="56" t="str">
        <f aca="false">IF(G99="","",IF(E99="Sì",IF(D99="Giustificata","Conta come presenza",""),IF(INDEX(Giorni!$D$2:$D$367,G99)=1,"Festività: non conta",IF(INDEX(Giorni!$E$2:$E$367,G99)=1,"Chiusura: non conta","Fuori periodo: non conta"))))</f>
        <v/>
      </c>
      <c r="G99" s="0" t="str">
        <f aca="false">IFERROR(MATCH(95,Giorni!$N$2:$N$367,0),"")</f>
        <v/>
      </c>
    </row>
    <row r="100" customFormat="false" ht="15" hidden="false" customHeight="false" outlineLevel="0" collapsed="false">
      <c r="A100" s="58" t="str">
        <f aca="false">IF(G100="","",96)</f>
        <v/>
      </c>
      <c r="B100" s="59" t="str">
        <f aca="false">IF(G100="","",INDEX(Giorni!$A$2:$A$367,G100))</f>
        <v/>
      </c>
      <c r="C100" s="58" t="str">
        <f aca="false">IF(G100="","",CHOOSE(WEEKDAY(B100,2),"lunedì","martedì","mercoledì","giovedì","venerdì","sabato","domenica"))</f>
        <v/>
      </c>
      <c r="D100" s="58" t="str">
        <f aca="false">IF(G100="","",IF(INDEX(Giorni!$I$2:$I$367,G100)="A","Assenza","Giustificata"))</f>
        <v/>
      </c>
      <c r="E100" s="58" t="str">
        <f aca="false">IF(G100="","",IF(INDEX(Giorni!$F$2:$F$367,G100)=1,"Sì","No"))</f>
        <v/>
      </c>
      <c r="F100" s="58" t="str">
        <f aca="false">IF(G100="","",IF(E100="Sì",IF(D100="Giustificata","Conta come presenza",""),IF(INDEX(Giorni!$D$2:$D$367,G100)=1,"Festività: non conta",IF(INDEX(Giorni!$E$2:$E$367,G100)=1,"Chiusura: non conta","Fuori periodo: non conta"))))</f>
        <v/>
      </c>
      <c r="G100" s="0" t="str">
        <f aca="false">IFERROR(MATCH(96,Giorni!$N$2:$N$367,0),"")</f>
        <v/>
      </c>
    </row>
    <row r="101" customFormat="false" ht="15" hidden="false" customHeight="false" outlineLevel="0" collapsed="false">
      <c r="A101" s="56" t="str">
        <f aca="false">IF(G101="","",97)</f>
        <v/>
      </c>
      <c r="B101" s="57" t="str">
        <f aca="false">IF(G101="","",INDEX(Giorni!$A$2:$A$367,G101))</f>
        <v/>
      </c>
      <c r="C101" s="56" t="str">
        <f aca="false">IF(G101="","",CHOOSE(WEEKDAY(B101,2),"lunedì","martedì","mercoledì","giovedì","venerdì","sabato","domenica"))</f>
        <v/>
      </c>
      <c r="D101" s="56" t="str">
        <f aca="false">IF(G101="","",IF(INDEX(Giorni!$I$2:$I$367,G101)="A","Assenza","Giustificata"))</f>
        <v/>
      </c>
      <c r="E101" s="56" t="str">
        <f aca="false">IF(G101="","",IF(INDEX(Giorni!$F$2:$F$367,G101)=1,"Sì","No"))</f>
        <v/>
      </c>
      <c r="F101" s="56" t="str">
        <f aca="false">IF(G101="","",IF(E101="Sì",IF(D101="Giustificata","Conta come presenza",""),IF(INDEX(Giorni!$D$2:$D$367,G101)=1,"Festività: non conta",IF(INDEX(Giorni!$E$2:$E$367,G101)=1,"Chiusura: non conta","Fuori periodo: non conta"))))</f>
        <v/>
      </c>
      <c r="G101" s="0" t="str">
        <f aca="false">IFERROR(MATCH(97,Giorni!$N$2:$N$367,0),"")</f>
        <v/>
      </c>
    </row>
    <row r="102" customFormat="false" ht="15" hidden="false" customHeight="false" outlineLevel="0" collapsed="false">
      <c r="A102" s="58" t="str">
        <f aca="false">IF(G102="","",98)</f>
        <v/>
      </c>
      <c r="B102" s="59" t="str">
        <f aca="false">IF(G102="","",INDEX(Giorni!$A$2:$A$367,G102))</f>
        <v/>
      </c>
      <c r="C102" s="58" t="str">
        <f aca="false">IF(G102="","",CHOOSE(WEEKDAY(B102,2),"lunedì","martedì","mercoledì","giovedì","venerdì","sabato","domenica"))</f>
        <v/>
      </c>
      <c r="D102" s="58" t="str">
        <f aca="false">IF(G102="","",IF(INDEX(Giorni!$I$2:$I$367,G102)="A","Assenza","Giustificata"))</f>
        <v/>
      </c>
      <c r="E102" s="58" t="str">
        <f aca="false">IF(G102="","",IF(INDEX(Giorni!$F$2:$F$367,G102)=1,"Sì","No"))</f>
        <v/>
      </c>
      <c r="F102" s="58" t="str">
        <f aca="false">IF(G102="","",IF(E102="Sì",IF(D102="Giustificata","Conta come presenza",""),IF(INDEX(Giorni!$D$2:$D$367,G102)=1,"Festività: non conta",IF(INDEX(Giorni!$E$2:$E$367,G102)=1,"Chiusura: non conta","Fuori periodo: non conta"))))</f>
        <v/>
      </c>
      <c r="G102" s="0" t="str">
        <f aca="false">IFERROR(MATCH(98,Giorni!$N$2:$N$367,0),"")</f>
        <v/>
      </c>
    </row>
    <row r="103" customFormat="false" ht="15" hidden="false" customHeight="false" outlineLevel="0" collapsed="false">
      <c r="A103" s="56" t="str">
        <f aca="false">IF(G103="","",99)</f>
        <v/>
      </c>
      <c r="B103" s="57" t="str">
        <f aca="false">IF(G103="","",INDEX(Giorni!$A$2:$A$367,G103))</f>
        <v/>
      </c>
      <c r="C103" s="56" t="str">
        <f aca="false">IF(G103="","",CHOOSE(WEEKDAY(B103,2),"lunedì","martedì","mercoledì","giovedì","venerdì","sabato","domenica"))</f>
        <v/>
      </c>
      <c r="D103" s="56" t="str">
        <f aca="false">IF(G103="","",IF(INDEX(Giorni!$I$2:$I$367,G103)="A","Assenza","Giustificata"))</f>
        <v/>
      </c>
      <c r="E103" s="56" t="str">
        <f aca="false">IF(G103="","",IF(INDEX(Giorni!$F$2:$F$367,G103)=1,"Sì","No"))</f>
        <v/>
      </c>
      <c r="F103" s="56" t="str">
        <f aca="false">IF(G103="","",IF(E103="Sì",IF(D103="Giustificata","Conta come presenza",""),IF(INDEX(Giorni!$D$2:$D$367,G103)=1,"Festività: non conta",IF(INDEX(Giorni!$E$2:$E$367,G103)=1,"Chiusura: non conta","Fuori periodo: non conta"))))</f>
        <v/>
      </c>
      <c r="G103" s="0" t="str">
        <f aca="false">IFERROR(MATCH(99,Giorni!$N$2:$N$367,0),"")</f>
        <v/>
      </c>
    </row>
    <row r="104" customFormat="false" ht="15" hidden="false" customHeight="false" outlineLevel="0" collapsed="false">
      <c r="A104" s="58" t="str">
        <f aca="false">IF(G104="","",100)</f>
        <v/>
      </c>
      <c r="B104" s="59" t="str">
        <f aca="false">IF(G104="","",INDEX(Giorni!$A$2:$A$367,G104))</f>
        <v/>
      </c>
      <c r="C104" s="58" t="str">
        <f aca="false">IF(G104="","",CHOOSE(WEEKDAY(B104,2),"lunedì","martedì","mercoledì","giovedì","venerdì","sabato","domenica"))</f>
        <v/>
      </c>
      <c r="D104" s="58" t="str">
        <f aca="false">IF(G104="","",IF(INDEX(Giorni!$I$2:$I$367,G104)="A","Assenza","Giustificata"))</f>
        <v/>
      </c>
      <c r="E104" s="58" t="str">
        <f aca="false">IF(G104="","",IF(INDEX(Giorni!$F$2:$F$367,G104)=1,"Sì","No"))</f>
        <v/>
      </c>
      <c r="F104" s="58" t="str">
        <f aca="false">IF(G104="","",IF(E104="Sì",IF(D104="Giustificata","Conta come presenza",""),IF(INDEX(Giorni!$D$2:$D$367,G104)=1,"Festività: non conta",IF(INDEX(Giorni!$E$2:$E$367,G104)=1,"Chiusura: non conta","Fuori periodo: non conta"))))</f>
        <v/>
      </c>
      <c r="G104" s="0" t="str">
        <f aca="false">IFERROR(MATCH(100,Giorni!$N$2:$N$367,0),"")</f>
        <v/>
      </c>
    </row>
    <row r="105" customFormat="false" ht="15" hidden="false" customHeight="false" outlineLevel="0" collapsed="false">
      <c r="A105" s="56" t="str">
        <f aca="false">IF(G105="","",101)</f>
        <v/>
      </c>
      <c r="B105" s="57" t="str">
        <f aca="false">IF(G105="","",INDEX(Giorni!$A$2:$A$367,G105))</f>
        <v/>
      </c>
      <c r="C105" s="56" t="str">
        <f aca="false">IF(G105="","",CHOOSE(WEEKDAY(B105,2),"lunedì","martedì","mercoledì","giovedì","venerdì","sabato","domenica"))</f>
        <v/>
      </c>
      <c r="D105" s="56" t="str">
        <f aca="false">IF(G105="","",IF(INDEX(Giorni!$I$2:$I$367,G105)="A","Assenza","Giustificata"))</f>
        <v/>
      </c>
      <c r="E105" s="56" t="str">
        <f aca="false">IF(G105="","",IF(INDEX(Giorni!$F$2:$F$367,G105)=1,"Sì","No"))</f>
        <v/>
      </c>
      <c r="F105" s="56" t="str">
        <f aca="false">IF(G105="","",IF(E105="Sì",IF(D105="Giustificata","Conta come presenza",""),IF(INDEX(Giorni!$D$2:$D$367,G105)=1,"Festività: non conta",IF(INDEX(Giorni!$E$2:$E$367,G105)=1,"Chiusura: non conta","Fuori periodo: non conta"))))</f>
        <v/>
      </c>
      <c r="G105" s="0" t="str">
        <f aca="false">IFERROR(MATCH(101,Giorni!$N$2:$N$367,0),"")</f>
        <v/>
      </c>
    </row>
    <row r="106" customFormat="false" ht="15" hidden="false" customHeight="false" outlineLevel="0" collapsed="false">
      <c r="A106" s="58" t="str">
        <f aca="false">IF(G106="","",102)</f>
        <v/>
      </c>
      <c r="B106" s="59" t="str">
        <f aca="false">IF(G106="","",INDEX(Giorni!$A$2:$A$367,G106))</f>
        <v/>
      </c>
      <c r="C106" s="58" t="str">
        <f aca="false">IF(G106="","",CHOOSE(WEEKDAY(B106,2),"lunedì","martedì","mercoledì","giovedì","venerdì","sabato","domenica"))</f>
        <v/>
      </c>
      <c r="D106" s="58" t="str">
        <f aca="false">IF(G106="","",IF(INDEX(Giorni!$I$2:$I$367,G106)="A","Assenza","Giustificata"))</f>
        <v/>
      </c>
      <c r="E106" s="58" t="str">
        <f aca="false">IF(G106="","",IF(INDEX(Giorni!$F$2:$F$367,G106)=1,"Sì","No"))</f>
        <v/>
      </c>
      <c r="F106" s="58" t="str">
        <f aca="false">IF(G106="","",IF(E106="Sì",IF(D106="Giustificata","Conta come presenza",""),IF(INDEX(Giorni!$D$2:$D$367,G106)=1,"Festività: non conta",IF(INDEX(Giorni!$E$2:$E$367,G106)=1,"Chiusura: non conta","Fuori periodo: non conta"))))</f>
        <v/>
      </c>
      <c r="G106" s="0" t="str">
        <f aca="false">IFERROR(MATCH(102,Giorni!$N$2:$N$367,0),"")</f>
        <v/>
      </c>
    </row>
    <row r="107" customFormat="false" ht="15" hidden="false" customHeight="false" outlineLevel="0" collapsed="false">
      <c r="A107" s="56" t="str">
        <f aca="false">IF(G107="","",103)</f>
        <v/>
      </c>
      <c r="B107" s="57" t="str">
        <f aca="false">IF(G107="","",INDEX(Giorni!$A$2:$A$367,G107))</f>
        <v/>
      </c>
      <c r="C107" s="56" t="str">
        <f aca="false">IF(G107="","",CHOOSE(WEEKDAY(B107,2),"lunedì","martedì","mercoledì","giovedì","venerdì","sabato","domenica"))</f>
        <v/>
      </c>
      <c r="D107" s="56" t="str">
        <f aca="false">IF(G107="","",IF(INDEX(Giorni!$I$2:$I$367,G107)="A","Assenza","Giustificata"))</f>
        <v/>
      </c>
      <c r="E107" s="56" t="str">
        <f aca="false">IF(G107="","",IF(INDEX(Giorni!$F$2:$F$367,G107)=1,"Sì","No"))</f>
        <v/>
      </c>
      <c r="F107" s="56" t="str">
        <f aca="false">IF(G107="","",IF(E107="Sì",IF(D107="Giustificata","Conta come presenza",""),IF(INDEX(Giorni!$D$2:$D$367,G107)=1,"Festività: non conta",IF(INDEX(Giorni!$E$2:$E$367,G107)=1,"Chiusura: non conta","Fuori periodo: non conta"))))</f>
        <v/>
      </c>
      <c r="G107" s="0" t="str">
        <f aca="false">IFERROR(MATCH(103,Giorni!$N$2:$N$367,0),"")</f>
        <v/>
      </c>
    </row>
    <row r="108" customFormat="false" ht="15" hidden="false" customHeight="false" outlineLevel="0" collapsed="false">
      <c r="A108" s="58" t="str">
        <f aca="false">IF(G108="","",104)</f>
        <v/>
      </c>
      <c r="B108" s="59" t="str">
        <f aca="false">IF(G108="","",INDEX(Giorni!$A$2:$A$367,G108))</f>
        <v/>
      </c>
      <c r="C108" s="58" t="str">
        <f aca="false">IF(G108="","",CHOOSE(WEEKDAY(B108,2),"lunedì","martedì","mercoledì","giovedì","venerdì","sabato","domenica"))</f>
        <v/>
      </c>
      <c r="D108" s="58" t="str">
        <f aca="false">IF(G108="","",IF(INDEX(Giorni!$I$2:$I$367,G108)="A","Assenza","Giustificata"))</f>
        <v/>
      </c>
      <c r="E108" s="58" t="str">
        <f aca="false">IF(G108="","",IF(INDEX(Giorni!$F$2:$F$367,G108)=1,"Sì","No"))</f>
        <v/>
      </c>
      <c r="F108" s="58" t="str">
        <f aca="false">IF(G108="","",IF(E108="Sì",IF(D108="Giustificata","Conta come presenza",""),IF(INDEX(Giorni!$D$2:$D$367,G108)=1,"Festività: non conta",IF(INDEX(Giorni!$E$2:$E$367,G108)=1,"Chiusura: non conta","Fuori periodo: non conta"))))</f>
        <v/>
      </c>
      <c r="G108" s="0" t="str">
        <f aca="false">IFERROR(MATCH(104,Giorni!$N$2:$N$367,0),"")</f>
        <v/>
      </c>
    </row>
    <row r="109" customFormat="false" ht="15" hidden="false" customHeight="false" outlineLevel="0" collapsed="false">
      <c r="A109" s="56" t="str">
        <f aca="false">IF(G109="","",105)</f>
        <v/>
      </c>
      <c r="B109" s="57" t="str">
        <f aca="false">IF(G109="","",INDEX(Giorni!$A$2:$A$367,G109))</f>
        <v/>
      </c>
      <c r="C109" s="56" t="str">
        <f aca="false">IF(G109="","",CHOOSE(WEEKDAY(B109,2),"lunedì","martedì","mercoledì","giovedì","venerdì","sabato","domenica"))</f>
        <v/>
      </c>
      <c r="D109" s="56" t="str">
        <f aca="false">IF(G109="","",IF(INDEX(Giorni!$I$2:$I$367,G109)="A","Assenza","Giustificata"))</f>
        <v/>
      </c>
      <c r="E109" s="56" t="str">
        <f aca="false">IF(G109="","",IF(INDEX(Giorni!$F$2:$F$367,G109)=1,"Sì","No"))</f>
        <v/>
      </c>
      <c r="F109" s="56" t="str">
        <f aca="false">IF(G109="","",IF(E109="Sì",IF(D109="Giustificata","Conta come presenza",""),IF(INDEX(Giorni!$D$2:$D$367,G109)=1,"Festività: non conta",IF(INDEX(Giorni!$E$2:$E$367,G109)=1,"Chiusura: non conta","Fuori periodo: non conta"))))</f>
        <v/>
      </c>
      <c r="G109" s="0" t="str">
        <f aca="false">IFERROR(MATCH(105,Giorni!$N$2:$N$367,0),"")</f>
        <v/>
      </c>
    </row>
    <row r="110" customFormat="false" ht="15" hidden="false" customHeight="false" outlineLevel="0" collapsed="false">
      <c r="A110" s="58" t="str">
        <f aca="false">IF(G110="","",106)</f>
        <v/>
      </c>
      <c r="B110" s="59" t="str">
        <f aca="false">IF(G110="","",INDEX(Giorni!$A$2:$A$367,G110))</f>
        <v/>
      </c>
      <c r="C110" s="58" t="str">
        <f aca="false">IF(G110="","",CHOOSE(WEEKDAY(B110,2),"lunedì","martedì","mercoledì","giovedì","venerdì","sabato","domenica"))</f>
        <v/>
      </c>
      <c r="D110" s="58" t="str">
        <f aca="false">IF(G110="","",IF(INDEX(Giorni!$I$2:$I$367,G110)="A","Assenza","Giustificata"))</f>
        <v/>
      </c>
      <c r="E110" s="58" t="str">
        <f aca="false">IF(G110="","",IF(INDEX(Giorni!$F$2:$F$367,G110)=1,"Sì","No"))</f>
        <v/>
      </c>
      <c r="F110" s="58" t="str">
        <f aca="false">IF(G110="","",IF(E110="Sì",IF(D110="Giustificata","Conta come presenza",""),IF(INDEX(Giorni!$D$2:$D$367,G110)=1,"Festività: non conta",IF(INDEX(Giorni!$E$2:$E$367,G110)=1,"Chiusura: non conta","Fuori periodo: non conta"))))</f>
        <v/>
      </c>
      <c r="G110" s="0" t="str">
        <f aca="false">IFERROR(MATCH(106,Giorni!$N$2:$N$367,0),"")</f>
        <v/>
      </c>
    </row>
    <row r="111" customFormat="false" ht="15" hidden="false" customHeight="false" outlineLevel="0" collapsed="false">
      <c r="A111" s="56" t="str">
        <f aca="false">IF(G111="","",107)</f>
        <v/>
      </c>
      <c r="B111" s="57" t="str">
        <f aca="false">IF(G111="","",INDEX(Giorni!$A$2:$A$367,G111))</f>
        <v/>
      </c>
      <c r="C111" s="56" t="str">
        <f aca="false">IF(G111="","",CHOOSE(WEEKDAY(B111,2),"lunedì","martedì","mercoledì","giovedì","venerdì","sabato","domenica"))</f>
        <v/>
      </c>
      <c r="D111" s="56" t="str">
        <f aca="false">IF(G111="","",IF(INDEX(Giorni!$I$2:$I$367,G111)="A","Assenza","Giustificata"))</f>
        <v/>
      </c>
      <c r="E111" s="56" t="str">
        <f aca="false">IF(G111="","",IF(INDEX(Giorni!$F$2:$F$367,G111)=1,"Sì","No"))</f>
        <v/>
      </c>
      <c r="F111" s="56" t="str">
        <f aca="false">IF(G111="","",IF(E111="Sì",IF(D111="Giustificata","Conta come presenza",""),IF(INDEX(Giorni!$D$2:$D$367,G111)=1,"Festività: non conta",IF(INDEX(Giorni!$E$2:$E$367,G111)=1,"Chiusura: non conta","Fuori periodo: non conta"))))</f>
        <v/>
      </c>
      <c r="G111" s="0" t="str">
        <f aca="false">IFERROR(MATCH(107,Giorni!$N$2:$N$367,0),"")</f>
        <v/>
      </c>
    </row>
    <row r="112" customFormat="false" ht="15" hidden="false" customHeight="false" outlineLevel="0" collapsed="false">
      <c r="A112" s="58" t="str">
        <f aca="false">IF(G112="","",108)</f>
        <v/>
      </c>
      <c r="B112" s="59" t="str">
        <f aca="false">IF(G112="","",INDEX(Giorni!$A$2:$A$367,G112))</f>
        <v/>
      </c>
      <c r="C112" s="58" t="str">
        <f aca="false">IF(G112="","",CHOOSE(WEEKDAY(B112,2),"lunedì","martedì","mercoledì","giovedì","venerdì","sabato","domenica"))</f>
        <v/>
      </c>
      <c r="D112" s="58" t="str">
        <f aca="false">IF(G112="","",IF(INDEX(Giorni!$I$2:$I$367,G112)="A","Assenza","Giustificata"))</f>
        <v/>
      </c>
      <c r="E112" s="58" t="str">
        <f aca="false">IF(G112="","",IF(INDEX(Giorni!$F$2:$F$367,G112)=1,"Sì","No"))</f>
        <v/>
      </c>
      <c r="F112" s="58" t="str">
        <f aca="false">IF(G112="","",IF(E112="Sì",IF(D112="Giustificata","Conta come presenza",""),IF(INDEX(Giorni!$D$2:$D$367,G112)=1,"Festività: non conta",IF(INDEX(Giorni!$E$2:$E$367,G112)=1,"Chiusura: non conta","Fuori periodo: non conta"))))</f>
        <v/>
      </c>
      <c r="G112" s="0" t="str">
        <f aca="false">IFERROR(MATCH(108,Giorni!$N$2:$N$367,0),"")</f>
        <v/>
      </c>
    </row>
    <row r="113" customFormat="false" ht="15" hidden="false" customHeight="false" outlineLevel="0" collapsed="false">
      <c r="A113" s="56" t="str">
        <f aca="false">IF(G113="","",109)</f>
        <v/>
      </c>
      <c r="B113" s="57" t="str">
        <f aca="false">IF(G113="","",INDEX(Giorni!$A$2:$A$367,G113))</f>
        <v/>
      </c>
      <c r="C113" s="56" t="str">
        <f aca="false">IF(G113="","",CHOOSE(WEEKDAY(B113,2),"lunedì","martedì","mercoledì","giovedì","venerdì","sabato","domenica"))</f>
        <v/>
      </c>
      <c r="D113" s="56" t="str">
        <f aca="false">IF(G113="","",IF(INDEX(Giorni!$I$2:$I$367,G113)="A","Assenza","Giustificata"))</f>
        <v/>
      </c>
      <c r="E113" s="56" t="str">
        <f aca="false">IF(G113="","",IF(INDEX(Giorni!$F$2:$F$367,G113)=1,"Sì","No"))</f>
        <v/>
      </c>
      <c r="F113" s="56" t="str">
        <f aca="false">IF(G113="","",IF(E113="Sì",IF(D113="Giustificata","Conta come presenza",""),IF(INDEX(Giorni!$D$2:$D$367,G113)=1,"Festività: non conta",IF(INDEX(Giorni!$E$2:$E$367,G113)=1,"Chiusura: non conta","Fuori periodo: non conta"))))</f>
        <v/>
      </c>
      <c r="G113" s="0" t="str">
        <f aca="false">IFERROR(MATCH(109,Giorni!$N$2:$N$367,0),"")</f>
        <v/>
      </c>
    </row>
    <row r="114" customFormat="false" ht="15" hidden="false" customHeight="false" outlineLevel="0" collapsed="false">
      <c r="A114" s="58" t="str">
        <f aca="false">IF(G114="","",110)</f>
        <v/>
      </c>
      <c r="B114" s="59" t="str">
        <f aca="false">IF(G114="","",INDEX(Giorni!$A$2:$A$367,G114))</f>
        <v/>
      </c>
      <c r="C114" s="58" t="str">
        <f aca="false">IF(G114="","",CHOOSE(WEEKDAY(B114,2),"lunedì","martedì","mercoledì","giovedì","venerdì","sabato","domenica"))</f>
        <v/>
      </c>
      <c r="D114" s="58" t="str">
        <f aca="false">IF(G114="","",IF(INDEX(Giorni!$I$2:$I$367,G114)="A","Assenza","Giustificata"))</f>
        <v/>
      </c>
      <c r="E114" s="58" t="str">
        <f aca="false">IF(G114="","",IF(INDEX(Giorni!$F$2:$F$367,G114)=1,"Sì","No"))</f>
        <v/>
      </c>
      <c r="F114" s="58" t="str">
        <f aca="false">IF(G114="","",IF(E114="Sì",IF(D114="Giustificata","Conta come presenza",""),IF(INDEX(Giorni!$D$2:$D$367,G114)=1,"Festività: non conta",IF(INDEX(Giorni!$E$2:$E$367,G114)=1,"Chiusura: non conta","Fuori periodo: non conta"))))</f>
        <v/>
      </c>
      <c r="G114" s="0" t="str">
        <f aca="false">IFERROR(MATCH(110,Giorni!$N$2:$N$367,0),"")</f>
        <v/>
      </c>
    </row>
    <row r="115" customFormat="false" ht="15" hidden="false" customHeight="false" outlineLevel="0" collapsed="false">
      <c r="A115" s="56" t="str">
        <f aca="false">IF(G115="","",111)</f>
        <v/>
      </c>
      <c r="B115" s="57" t="str">
        <f aca="false">IF(G115="","",INDEX(Giorni!$A$2:$A$367,G115))</f>
        <v/>
      </c>
      <c r="C115" s="56" t="str">
        <f aca="false">IF(G115="","",CHOOSE(WEEKDAY(B115,2),"lunedì","martedì","mercoledì","giovedì","venerdì","sabato","domenica"))</f>
        <v/>
      </c>
      <c r="D115" s="56" t="str">
        <f aca="false">IF(G115="","",IF(INDEX(Giorni!$I$2:$I$367,G115)="A","Assenza","Giustificata"))</f>
        <v/>
      </c>
      <c r="E115" s="56" t="str">
        <f aca="false">IF(G115="","",IF(INDEX(Giorni!$F$2:$F$367,G115)=1,"Sì","No"))</f>
        <v/>
      </c>
      <c r="F115" s="56" t="str">
        <f aca="false">IF(G115="","",IF(E115="Sì",IF(D115="Giustificata","Conta come presenza",""),IF(INDEX(Giorni!$D$2:$D$367,G115)=1,"Festività: non conta",IF(INDEX(Giorni!$E$2:$E$367,G115)=1,"Chiusura: non conta","Fuori periodo: non conta"))))</f>
        <v/>
      </c>
      <c r="G115" s="0" t="str">
        <f aca="false">IFERROR(MATCH(111,Giorni!$N$2:$N$367,0),"")</f>
        <v/>
      </c>
    </row>
    <row r="116" customFormat="false" ht="15" hidden="false" customHeight="false" outlineLevel="0" collapsed="false">
      <c r="A116" s="58" t="str">
        <f aca="false">IF(G116="","",112)</f>
        <v/>
      </c>
      <c r="B116" s="59" t="str">
        <f aca="false">IF(G116="","",INDEX(Giorni!$A$2:$A$367,G116))</f>
        <v/>
      </c>
      <c r="C116" s="58" t="str">
        <f aca="false">IF(G116="","",CHOOSE(WEEKDAY(B116,2),"lunedì","martedì","mercoledì","giovedì","venerdì","sabato","domenica"))</f>
        <v/>
      </c>
      <c r="D116" s="58" t="str">
        <f aca="false">IF(G116="","",IF(INDEX(Giorni!$I$2:$I$367,G116)="A","Assenza","Giustificata"))</f>
        <v/>
      </c>
      <c r="E116" s="58" t="str">
        <f aca="false">IF(G116="","",IF(INDEX(Giorni!$F$2:$F$367,G116)=1,"Sì","No"))</f>
        <v/>
      </c>
      <c r="F116" s="58" t="str">
        <f aca="false">IF(G116="","",IF(E116="Sì",IF(D116="Giustificata","Conta come presenza",""),IF(INDEX(Giorni!$D$2:$D$367,G116)=1,"Festività: non conta",IF(INDEX(Giorni!$E$2:$E$367,G116)=1,"Chiusura: non conta","Fuori periodo: non conta"))))</f>
        <v/>
      </c>
      <c r="G116" s="0" t="str">
        <f aca="false">IFERROR(MATCH(112,Giorni!$N$2:$N$367,0),"")</f>
        <v/>
      </c>
    </row>
    <row r="117" customFormat="false" ht="15" hidden="false" customHeight="false" outlineLevel="0" collapsed="false">
      <c r="A117" s="56" t="str">
        <f aca="false">IF(G117="","",113)</f>
        <v/>
      </c>
      <c r="B117" s="57" t="str">
        <f aca="false">IF(G117="","",INDEX(Giorni!$A$2:$A$367,G117))</f>
        <v/>
      </c>
      <c r="C117" s="56" t="str">
        <f aca="false">IF(G117="","",CHOOSE(WEEKDAY(B117,2),"lunedì","martedì","mercoledì","giovedì","venerdì","sabato","domenica"))</f>
        <v/>
      </c>
      <c r="D117" s="56" t="str">
        <f aca="false">IF(G117="","",IF(INDEX(Giorni!$I$2:$I$367,G117)="A","Assenza","Giustificata"))</f>
        <v/>
      </c>
      <c r="E117" s="56" t="str">
        <f aca="false">IF(G117="","",IF(INDEX(Giorni!$F$2:$F$367,G117)=1,"Sì","No"))</f>
        <v/>
      </c>
      <c r="F117" s="56" t="str">
        <f aca="false">IF(G117="","",IF(E117="Sì",IF(D117="Giustificata","Conta come presenza",""),IF(INDEX(Giorni!$D$2:$D$367,G117)=1,"Festività: non conta",IF(INDEX(Giorni!$E$2:$E$367,G117)=1,"Chiusura: non conta","Fuori periodo: non conta"))))</f>
        <v/>
      </c>
      <c r="G117" s="0" t="str">
        <f aca="false">IFERROR(MATCH(113,Giorni!$N$2:$N$367,0),"")</f>
        <v/>
      </c>
    </row>
    <row r="118" customFormat="false" ht="15" hidden="false" customHeight="false" outlineLevel="0" collapsed="false">
      <c r="A118" s="58" t="str">
        <f aca="false">IF(G118="","",114)</f>
        <v/>
      </c>
      <c r="B118" s="59" t="str">
        <f aca="false">IF(G118="","",INDEX(Giorni!$A$2:$A$367,G118))</f>
        <v/>
      </c>
      <c r="C118" s="58" t="str">
        <f aca="false">IF(G118="","",CHOOSE(WEEKDAY(B118,2),"lunedì","martedì","mercoledì","giovedì","venerdì","sabato","domenica"))</f>
        <v/>
      </c>
      <c r="D118" s="58" t="str">
        <f aca="false">IF(G118="","",IF(INDEX(Giorni!$I$2:$I$367,G118)="A","Assenza","Giustificata"))</f>
        <v/>
      </c>
      <c r="E118" s="58" t="str">
        <f aca="false">IF(G118="","",IF(INDEX(Giorni!$F$2:$F$367,G118)=1,"Sì","No"))</f>
        <v/>
      </c>
      <c r="F118" s="58" t="str">
        <f aca="false">IF(G118="","",IF(E118="Sì",IF(D118="Giustificata","Conta come presenza",""),IF(INDEX(Giorni!$D$2:$D$367,G118)=1,"Festività: non conta",IF(INDEX(Giorni!$E$2:$E$367,G118)=1,"Chiusura: non conta","Fuori periodo: non conta"))))</f>
        <v/>
      </c>
      <c r="G118" s="0" t="str">
        <f aca="false">IFERROR(MATCH(114,Giorni!$N$2:$N$367,0),"")</f>
        <v/>
      </c>
    </row>
    <row r="119" customFormat="false" ht="15" hidden="false" customHeight="false" outlineLevel="0" collapsed="false">
      <c r="A119" s="56" t="str">
        <f aca="false">IF(G119="","",115)</f>
        <v/>
      </c>
      <c r="B119" s="57" t="str">
        <f aca="false">IF(G119="","",INDEX(Giorni!$A$2:$A$367,G119))</f>
        <v/>
      </c>
      <c r="C119" s="56" t="str">
        <f aca="false">IF(G119="","",CHOOSE(WEEKDAY(B119,2),"lunedì","martedì","mercoledì","giovedì","venerdì","sabato","domenica"))</f>
        <v/>
      </c>
      <c r="D119" s="56" t="str">
        <f aca="false">IF(G119="","",IF(INDEX(Giorni!$I$2:$I$367,G119)="A","Assenza","Giustificata"))</f>
        <v/>
      </c>
      <c r="E119" s="56" t="str">
        <f aca="false">IF(G119="","",IF(INDEX(Giorni!$F$2:$F$367,G119)=1,"Sì","No"))</f>
        <v/>
      </c>
      <c r="F119" s="56" t="str">
        <f aca="false">IF(G119="","",IF(E119="Sì",IF(D119="Giustificata","Conta come presenza",""),IF(INDEX(Giorni!$D$2:$D$367,G119)=1,"Festività: non conta",IF(INDEX(Giorni!$E$2:$E$367,G119)=1,"Chiusura: non conta","Fuori periodo: non conta"))))</f>
        <v/>
      </c>
      <c r="G119" s="0" t="str">
        <f aca="false">IFERROR(MATCH(115,Giorni!$N$2:$N$367,0),"")</f>
        <v/>
      </c>
    </row>
    <row r="120" customFormat="false" ht="15" hidden="false" customHeight="false" outlineLevel="0" collapsed="false">
      <c r="A120" s="58" t="str">
        <f aca="false">IF(G120="","",116)</f>
        <v/>
      </c>
      <c r="B120" s="59" t="str">
        <f aca="false">IF(G120="","",INDEX(Giorni!$A$2:$A$367,G120))</f>
        <v/>
      </c>
      <c r="C120" s="58" t="str">
        <f aca="false">IF(G120="","",CHOOSE(WEEKDAY(B120,2),"lunedì","martedì","mercoledì","giovedì","venerdì","sabato","domenica"))</f>
        <v/>
      </c>
      <c r="D120" s="58" t="str">
        <f aca="false">IF(G120="","",IF(INDEX(Giorni!$I$2:$I$367,G120)="A","Assenza","Giustificata"))</f>
        <v/>
      </c>
      <c r="E120" s="58" t="str">
        <f aca="false">IF(G120="","",IF(INDEX(Giorni!$F$2:$F$367,G120)=1,"Sì","No"))</f>
        <v/>
      </c>
      <c r="F120" s="58" t="str">
        <f aca="false">IF(G120="","",IF(E120="Sì",IF(D120="Giustificata","Conta come presenza",""),IF(INDEX(Giorni!$D$2:$D$367,G120)=1,"Festività: non conta",IF(INDEX(Giorni!$E$2:$E$367,G120)=1,"Chiusura: non conta","Fuori periodo: non conta"))))</f>
        <v/>
      </c>
      <c r="G120" s="0" t="str">
        <f aca="false">IFERROR(MATCH(116,Giorni!$N$2:$N$367,0),"")</f>
        <v/>
      </c>
    </row>
    <row r="121" customFormat="false" ht="15" hidden="false" customHeight="false" outlineLevel="0" collapsed="false">
      <c r="A121" s="56" t="str">
        <f aca="false">IF(G121="","",117)</f>
        <v/>
      </c>
      <c r="B121" s="57" t="str">
        <f aca="false">IF(G121="","",INDEX(Giorni!$A$2:$A$367,G121))</f>
        <v/>
      </c>
      <c r="C121" s="56" t="str">
        <f aca="false">IF(G121="","",CHOOSE(WEEKDAY(B121,2),"lunedì","martedì","mercoledì","giovedì","venerdì","sabato","domenica"))</f>
        <v/>
      </c>
      <c r="D121" s="56" t="str">
        <f aca="false">IF(G121="","",IF(INDEX(Giorni!$I$2:$I$367,G121)="A","Assenza","Giustificata"))</f>
        <v/>
      </c>
      <c r="E121" s="56" t="str">
        <f aca="false">IF(G121="","",IF(INDEX(Giorni!$F$2:$F$367,G121)=1,"Sì","No"))</f>
        <v/>
      </c>
      <c r="F121" s="56" t="str">
        <f aca="false">IF(G121="","",IF(E121="Sì",IF(D121="Giustificata","Conta come presenza",""),IF(INDEX(Giorni!$D$2:$D$367,G121)=1,"Festività: non conta",IF(INDEX(Giorni!$E$2:$E$367,G121)=1,"Chiusura: non conta","Fuori periodo: non conta"))))</f>
        <v/>
      </c>
      <c r="G121" s="0" t="str">
        <f aca="false">IFERROR(MATCH(117,Giorni!$N$2:$N$367,0),"")</f>
        <v/>
      </c>
    </row>
    <row r="122" customFormat="false" ht="15" hidden="false" customHeight="false" outlineLevel="0" collapsed="false">
      <c r="A122" s="58" t="str">
        <f aca="false">IF(G122="","",118)</f>
        <v/>
      </c>
      <c r="B122" s="59" t="str">
        <f aca="false">IF(G122="","",INDEX(Giorni!$A$2:$A$367,G122))</f>
        <v/>
      </c>
      <c r="C122" s="58" t="str">
        <f aca="false">IF(G122="","",CHOOSE(WEEKDAY(B122,2),"lunedì","martedì","mercoledì","giovedì","venerdì","sabato","domenica"))</f>
        <v/>
      </c>
      <c r="D122" s="58" t="str">
        <f aca="false">IF(G122="","",IF(INDEX(Giorni!$I$2:$I$367,G122)="A","Assenza","Giustificata"))</f>
        <v/>
      </c>
      <c r="E122" s="58" t="str">
        <f aca="false">IF(G122="","",IF(INDEX(Giorni!$F$2:$F$367,G122)=1,"Sì","No"))</f>
        <v/>
      </c>
      <c r="F122" s="58" t="str">
        <f aca="false">IF(G122="","",IF(E122="Sì",IF(D122="Giustificata","Conta come presenza",""),IF(INDEX(Giorni!$D$2:$D$367,G122)=1,"Festività: non conta",IF(INDEX(Giorni!$E$2:$E$367,G122)=1,"Chiusura: non conta","Fuori periodo: non conta"))))</f>
        <v/>
      </c>
      <c r="G122" s="0" t="str">
        <f aca="false">IFERROR(MATCH(118,Giorni!$N$2:$N$367,0),"")</f>
        <v/>
      </c>
    </row>
    <row r="123" customFormat="false" ht="15" hidden="false" customHeight="false" outlineLevel="0" collapsed="false">
      <c r="A123" s="56" t="str">
        <f aca="false">IF(G123="","",119)</f>
        <v/>
      </c>
      <c r="B123" s="57" t="str">
        <f aca="false">IF(G123="","",INDEX(Giorni!$A$2:$A$367,G123))</f>
        <v/>
      </c>
      <c r="C123" s="56" t="str">
        <f aca="false">IF(G123="","",CHOOSE(WEEKDAY(B123,2),"lunedì","martedì","mercoledì","giovedì","venerdì","sabato","domenica"))</f>
        <v/>
      </c>
      <c r="D123" s="56" t="str">
        <f aca="false">IF(G123="","",IF(INDEX(Giorni!$I$2:$I$367,G123)="A","Assenza","Giustificata"))</f>
        <v/>
      </c>
      <c r="E123" s="56" t="str">
        <f aca="false">IF(G123="","",IF(INDEX(Giorni!$F$2:$F$367,G123)=1,"Sì","No"))</f>
        <v/>
      </c>
      <c r="F123" s="56" t="str">
        <f aca="false">IF(G123="","",IF(E123="Sì",IF(D123="Giustificata","Conta come presenza",""),IF(INDEX(Giorni!$D$2:$D$367,G123)=1,"Festività: non conta",IF(INDEX(Giorni!$E$2:$E$367,G123)=1,"Chiusura: non conta","Fuori periodo: non conta"))))</f>
        <v/>
      </c>
      <c r="G123" s="0" t="str">
        <f aca="false">IFERROR(MATCH(119,Giorni!$N$2:$N$367,0),"")</f>
        <v/>
      </c>
    </row>
    <row r="124" customFormat="false" ht="15" hidden="false" customHeight="false" outlineLevel="0" collapsed="false">
      <c r="A124" s="58" t="str">
        <f aca="false">IF(G124="","",120)</f>
        <v/>
      </c>
      <c r="B124" s="59" t="str">
        <f aca="false">IF(G124="","",INDEX(Giorni!$A$2:$A$367,G124))</f>
        <v/>
      </c>
      <c r="C124" s="58" t="str">
        <f aca="false">IF(G124="","",CHOOSE(WEEKDAY(B124,2),"lunedì","martedì","mercoledì","giovedì","venerdì","sabato","domenica"))</f>
        <v/>
      </c>
      <c r="D124" s="58" t="str">
        <f aca="false">IF(G124="","",IF(INDEX(Giorni!$I$2:$I$367,G124)="A","Assenza","Giustificata"))</f>
        <v/>
      </c>
      <c r="E124" s="58" t="str">
        <f aca="false">IF(G124="","",IF(INDEX(Giorni!$F$2:$F$367,G124)=1,"Sì","No"))</f>
        <v/>
      </c>
      <c r="F124" s="58" t="str">
        <f aca="false">IF(G124="","",IF(E124="Sì",IF(D124="Giustificata","Conta come presenza",""),IF(INDEX(Giorni!$D$2:$D$367,G124)=1,"Festività: non conta",IF(INDEX(Giorni!$E$2:$E$367,G124)=1,"Chiusura: non conta","Fuori periodo: non conta"))))</f>
        <v/>
      </c>
      <c r="G124" s="0" t="str">
        <f aca="false">IFERROR(MATCH(120,Giorni!$N$2:$N$367,0),"")</f>
        <v/>
      </c>
    </row>
    <row r="125" customFormat="false" ht="15" hidden="false" customHeight="false" outlineLevel="0" collapsed="false">
      <c r="A125" s="56" t="str">
        <f aca="false">IF(G125="","",121)</f>
        <v/>
      </c>
      <c r="B125" s="57" t="str">
        <f aca="false">IF(G125="","",INDEX(Giorni!$A$2:$A$367,G125))</f>
        <v/>
      </c>
      <c r="C125" s="56" t="str">
        <f aca="false">IF(G125="","",CHOOSE(WEEKDAY(B125,2),"lunedì","martedì","mercoledì","giovedì","venerdì","sabato","domenica"))</f>
        <v/>
      </c>
      <c r="D125" s="56" t="str">
        <f aca="false">IF(G125="","",IF(INDEX(Giorni!$I$2:$I$367,G125)="A","Assenza","Giustificata"))</f>
        <v/>
      </c>
      <c r="E125" s="56" t="str">
        <f aca="false">IF(G125="","",IF(INDEX(Giorni!$F$2:$F$367,G125)=1,"Sì","No"))</f>
        <v/>
      </c>
      <c r="F125" s="56" t="str">
        <f aca="false">IF(G125="","",IF(E125="Sì",IF(D125="Giustificata","Conta come presenza",""),IF(INDEX(Giorni!$D$2:$D$367,G125)=1,"Festività: non conta",IF(INDEX(Giorni!$E$2:$E$367,G125)=1,"Chiusura: non conta","Fuori periodo: non conta"))))</f>
        <v/>
      </c>
      <c r="G125" s="0" t="str">
        <f aca="false">IFERROR(MATCH(121,Giorni!$N$2:$N$367,0),"")</f>
        <v/>
      </c>
    </row>
    <row r="126" customFormat="false" ht="15" hidden="false" customHeight="false" outlineLevel="0" collapsed="false">
      <c r="A126" s="58" t="str">
        <f aca="false">IF(G126="","",122)</f>
        <v/>
      </c>
      <c r="B126" s="59" t="str">
        <f aca="false">IF(G126="","",INDEX(Giorni!$A$2:$A$367,G126))</f>
        <v/>
      </c>
      <c r="C126" s="58" t="str">
        <f aca="false">IF(G126="","",CHOOSE(WEEKDAY(B126,2),"lunedì","martedì","mercoledì","giovedì","venerdì","sabato","domenica"))</f>
        <v/>
      </c>
      <c r="D126" s="58" t="str">
        <f aca="false">IF(G126="","",IF(INDEX(Giorni!$I$2:$I$367,G126)="A","Assenza","Giustificata"))</f>
        <v/>
      </c>
      <c r="E126" s="58" t="str">
        <f aca="false">IF(G126="","",IF(INDEX(Giorni!$F$2:$F$367,G126)=1,"Sì","No"))</f>
        <v/>
      </c>
      <c r="F126" s="58" t="str">
        <f aca="false">IF(G126="","",IF(E126="Sì",IF(D126="Giustificata","Conta come presenza",""),IF(INDEX(Giorni!$D$2:$D$367,G126)=1,"Festività: non conta",IF(INDEX(Giorni!$E$2:$E$367,G126)=1,"Chiusura: non conta","Fuori periodo: non conta"))))</f>
        <v/>
      </c>
      <c r="G126" s="0" t="str">
        <f aca="false">IFERROR(MATCH(122,Giorni!$N$2:$N$367,0),"")</f>
        <v/>
      </c>
    </row>
    <row r="127" customFormat="false" ht="15" hidden="false" customHeight="false" outlineLevel="0" collapsed="false">
      <c r="A127" s="56" t="str">
        <f aca="false">IF(G127="","",123)</f>
        <v/>
      </c>
      <c r="B127" s="57" t="str">
        <f aca="false">IF(G127="","",INDEX(Giorni!$A$2:$A$367,G127))</f>
        <v/>
      </c>
      <c r="C127" s="56" t="str">
        <f aca="false">IF(G127="","",CHOOSE(WEEKDAY(B127,2),"lunedì","martedì","mercoledì","giovedì","venerdì","sabato","domenica"))</f>
        <v/>
      </c>
      <c r="D127" s="56" t="str">
        <f aca="false">IF(G127="","",IF(INDEX(Giorni!$I$2:$I$367,G127)="A","Assenza","Giustificata"))</f>
        <v/>
      </c>
      <c r="E127" s="56" t="str">
        <f aca="false">IF(G127="","",IF(INDEX(Giorni!$F$2:$F$367,G127)=1,"Sì","No"))</f>
        <v/>
      </c>
      <c r="F127" s="56" t="str">
        <f aca="false">IF(G127="","",IF(E127="Sì",IF(D127="Giustificata","Conta come presenza",""),IF(INDEX(Giorni!$D$2:$D$367,G127)=1,"Festività: non conta",IF(INDEX(Giorni!$E$2:$E$367,G127)=1,"Chiusura: non conta","Fuori periodo: non conta"))))</f>
        <v/>
      </c>
      <c r="G127" s="0" t="str">
        <f aca="false">IFERROR(MATCH(123,Giorni!$N$2:$N$367,0),"")</f>
        <v/>
      </c>
    </row>
    <row r="128" customFormat="false" ht="15" hidden="false" customHeight="false" outlineLevel="0" collapsed="false">
      <c r="A128" s="58" t="str">
        <f aca="false">IF(G128="","",124)</f>
        <v/>
      </c>
      <c r="B128" s="59" t="str">
        <f aca="false">IF(G128="","",INDEX(Giorni!$A$2:$A$367,G128))</f>
        <v/>
      </c>
      <c r="C128" s="58" t="str">
        <f aca="false">IF(G128="","",CHOOSE(WEEKDAY(B128,2),"lunedì","martedì","mercoledì","giovedì","venerdì","sabato","domenica"))</f>
        <v/>
      </c>
      <c r="D128" s="58" t="str">
        <f aca="false">IF(G128="","",IF(INDEX(Giorni!$I$2:$I$367,G128)="A","Assenza","Giustificata"))</f>
        <v/>
      </c>
      <c r="E128" s="58" t="str">
        <f aca="false">IF(G128="","",IF(INDEX(Giorni!$F$2:$F$367,G128)=1,"Sì","No"))</f>
        <v/>
      </c>
      <c r="F128" s="58" t="str">
        <f aca="false">IF(G128="","",IF(E128="Sì",IF(D128="Giustificata","Conta come presenza",""),IF(INDEX(Giorni!$D$2:$D$367,G128)=1,"Festività: non conta",IF(INDEX(Giorni!$E$2:$E$367,G128)=1,"Chiusura: non conta","Fuori periodo: non conta"))))</f>
        <v/>
      </c>
      <c r="G128" s="0" t="str">
        <f aca="false">IFERROR(MATCH(124,Giorni!$N$2:$N$367,0),"")</f>
        <v/>
      </c>
    </row>
    <row r="129" customFormat="false" ht="15" hidden="false" customHeight="false" outlineLevel="0" collapsed="false">
      <c r="A129" s="56" t="str">
        <f aca="false">IF(G129="","",125)</f>
        <v/>
      </c>
      <c r="B129" s="57" t="str">
        <f aca="false">IF(G129="","",INDEX(Giorni!$A$2:$A$367,G129))</f>
        <v/>
      </c>
      <c r="C129" s="56" t="str">
        <f aca="false">IF(G129="","",CHOOSE(WEEKDAY(B129,2),"lunedì","martedì","mercoledì","giovedì","venerdì","sabato","domenica"))</f>
        <v/>
      </c>
      <c r="D129" s="56" t="str">
        <f aca="false">IF(G129="","",IF(INDEX(Giorni!$I$2:$I$367,G129)="A","Assenza","Giustificata"))</f>
        <v/>
      </c>
      <c r="E129" s="56" t="str">
        <f aca="false">IF(G129="","",IF(INDEX(Giorni!$F$2:$F$367,G129)=1,"Sì","No"))</f>
        <v/>
      </c>
      <c r="F129" s="56" t="str">
        <f aca="false">IF(G129="","",IF(E129="Sì",IF(D129="Giustificata","Conta come presenza",""),IF(INDEX(Giorni!$D$2:$D$367,G129)=1,"Festività: non conta",IF(INDEX(Giorni!$E$2:$E$367,G129)=1,"Chiusura: non conta","Fuori periodo: non conta"))))</f>
        <v/>
      </c>
      <c r="G129" s="0" t="str">
        <f aca="false">IFERROR(MATCH(125,Giorni!$N$2:$N$367,0),"")</f>
        <v/>
      </c>
    </row>
    <row r="130" customFormat="false" ht="15" hidden="false" customHeight="false" outlineLevel="0" collapsed="false">
      <c r="A130" s="58" t="str">
        <f aca="false">IF(G130="","",126)</f>
        <v/>
      </c>
      <c r="B130" s="59" t="str">
        <f aca="false">IF(G130="","",INDEX(Giorni!$A$2:$A$367,G130))</f>
        <v/>
      </c>
      <c r="C130" s="58" t="str">
        <f aca="false">IF(G130="","",CHOOSE(WEEKDAY(B130,2),"lunedì","martedì","mercoledì","giovedì","venerdì","sabato","domenica"))</f>
        <v/>
      </c>
      <c r="D130" s="58" t="str">
        <f aca="false">IF(G130="","",IF(INDEX(Giorni!$I$2:$I$367,G130)="A","Assenza","Giustificata"))</f>
        <v/>
      </c>
      <c r="E130" s="58" t="str">
        <f aca="false">IF(G130="","",IF(INDEX(Giorni!$F$2:$F$367,G130)=1,"Sì","No"))</f>
        <v/>
      </c>
      <c r="F130" s="58" t="str">
        <f aca="false">IF(G130="","",IF(E130="Sì",IF(D130="Giustificata","Conta come presenza",""),IF(INDEX(Giorni!$D$2:$D$367,G130)=1,"Festività: non conta",IF(INDEX(Giorni!$E$2:$E$367,G130)=1,"Chiusura: non conta","Fuori periodo: non conta"))))</f>
        <v/>
      </c>
      <c r="G130" s="0" t="str">
        <f aca="false">IFERROR(MATCH(126,Giorni!$N$2:$N$367,0),"")</f>
        <v/>
      </c>
    </row>
    <row r="131" customFormat="false" ht="15" hidden="false" customHeight="false" outlineLevel="0" collapsed="false">
      <c r="A131" s="56" t="str">
        <f aca="false">IF(G131="","",127)</f>
        <v/>
      </c>
      <c r="B131" s="57" t="str">
        <f aca="false">IF(G131="","",INDEX(Giorni!$A$2:$A$367,G131))</f>
        <v/>
      </c>
      <c r="C131" s="56" t="str">
        <f aca="false">IF(G131="","",CHOOSE(WEEKDAY(B131,2),"lunedì","martedì","mercoledì","giovedì","venerdì","sabato","domenica"))</f>
        <v/>
      </c>
      <c r="D131" s="56" t="str">
        <f aca="false">IF(G131="","",IF(INDEX(Giorni!$I$2:$I$367,G131)="A","Assenza","Giustificata"))</f>
        <v/>
      </c>
      <c r="E131" s="56" t="str">
        <f aca="false">IF(G131="","",IF(INDEX(Giorni!$F$2:$F$367,G131)=1,"Sì","No"))</f>
        <v/>
      </c>
      <c r="F131" s="56" t="str">
        <f aca="false">IF(G131="","",IF(E131="Sì",IF(D131="Giustificata","Conta come presenza",""),IF(INDEX(Giorni!$D$2:$D$367,G131)=1,"Festività: non conta",IF(INDEX(Giorni!$E$2:$E$367,G131)=1,"Chiusura: non conta","Fuori periodo: non conta"))))</f>
        <v/>
      </c>
      <c r="G131" s="0" t="str">
        <f aca="false">IFERROR(MATCH(127,Giorni!$N$2:$N$367,0),"")</f>
        <v/>
      </c>
    </row>
    <row r="132" customFormat="false" ht="15" hidden="false" customHeight="false" outlineLevel="0" collapsed="false">
      <c r="A132" s="58" t="str">
        <f aca="false">IF(G132="","",128)</f>
        <v/>
      </c>
      <c r="B132" s="59" t="str">
        <f aca="false">IF(G132="","",INDEX(Giorni!$A$2:$A$367,G132))</f>
        <v/>
      </c>
      <c r="C132" s="58" t="str">
        <f aca="false">IF(G132="","",CHOOSE(WEEKDAY(B132,2),"lunedì","martedì","mercoledì","giovedì","venerdì","sabato","domenica"))</f>
        <v/>
      </c>
      <c r="D132" s="58" t="str">
        <f aca="false">IF(G132="","",IF(INDEX(Giorni!$I$2:$I$367,G132)="A","Assenza","Giustificata"))</f>
        <v/>
      </c>
      <c r="E132" s="58" t="str">
        <f aca="false">IF(G132="","",IF(INDEX(Giorni!$F$2:$F$367,G132)=1,"Sì","No"))</f>
        <v/>
      </c>
      <c r="F132" s="58" t="str">
        <f aca="false">IF(G132="","",IF(E132="Sì",IF(D132="Giustificata","Conta come presenza",""),IF(INDEX(Giorni!$D$2:$D$367,G132)=1,"Festività: non conta",IF(INDEX(Giorni!$E$2:$E$367,G132)=1,"Chiusura: non conta","Fuori periodo: non conta"))))</f>
        <v/>
      </c>
      <c r="G132" s="0" t="str">
        <f aca="false">IFERROR(MATCH(128,Giorni!$N$2:$N$367,0),"")</f>
        <v/>
      </c>
    </row>
    <row r="133" customFormat="false" ht="15" hidden="false" customHeight="false" outlineLevel="0" collapsed="false">
      <c r="A133" s="56" t="str">
        <f aca="false">IF(G133="","",129)</f>
        <v/>
      </c>
      <c r="B133" s="57" t="str">
        <f aca="false">IF(G133="","",INDEX(Giorni!$A$2:$A$367,G133))</f>
        <v/>
      </c>
      <c r="C133" s="56" t="str">
        <f aca="false">IF(G133="","",CHOOSE(WEEKDAY(B133,2),"lunedì","martedì","mercoledì","giovedì","venerdì","sabato","domenica"))</f>
        <v/>
      </c>
      <c r="D133" s="56" t="str">
        <f aca="false">IF(G133="","",IF(INDEX(Giorni!$I$2:$I$367,G133)="A","Assenza","Giustificata"))</f>
        <v/>
      </c>
      <c r="E133" s="56" t="str">
        <f aca="false">IF(G133="","",IF(INDEX(Giorni!$F$2:$F$367,G133)=1,"Sì","No"))</f>
        <v/>
      </c>
      <c r="F133" s="56" t="str">
        <f aca="false">IF(G133="","",IF(E133="Sì",IF(D133="Giustificata","Conta come presenza",""),IF(INDEX(Giorni!$D$2:$D$367,G133)=1,"Festività: non conta",IF(INDEX(Giorni!$E$2:$E$367,G133)=1,"Chiusura: non conta","Fuori periodo: non conta"))))</f>
        <v/>
      </c>
      <c r="G133" s="0" t="str">
        <f aca="false">IFERROR(MATCH(129,Giorni!$N$2:$N$367,0),"")</f>
        <v/>
      </c>
    </row>
    <row r="134" customFormat="false" ht="15" hidden="false" customHeight="false" outlineLevel="0" collapsed="false">
      <c r="A134" s="58" t="str">
        <f aca="false">IF(G134="","",130)</f>
        <v/>
      </c>
      <c r="B134" s="59" t="str">
        <f aca="false">IF(G134="","",INDEX(Giorni!$A$2:$A$367,G134))</f>
        <v/>
      </c>
      <c r="C134" s="58" t="str">
        <f aca="false">IF(G134="","",CHOOSE(WEEKDAY(B134,2),"lunedì","martedì","mercoledì","giovedì","venerdì","sabato","domenica"))</f>
        <v/>
      </c>
      <c r="D134" s="58" t="str">
        <f aca="false">IF(G134="","",IF(INDEX(Giorni!$I$2:$I$367,G134)="A","Assenza","Giustificata"))</f>
        <v/>
      </c>
      <c r="E134" s="58" t="str">
        <f aca="false">IF(G134="","",IF(INDEX(Giorni!$F$2:$F$367,G134)=1,"Sì","No"))</f>
        <v/>
      </c>
      <c r="F134" s="58" t="str">
        <f aca="false">IF(G134="","",IF(E134="Sì",IF(D134="Giustificata","Conta come presenza",""),IF(INDEX(Giorni!$D$2:$D$367,G134)=1,"Festività: non conta",IF(INDEX(Giorni!$E$2:$E$367,G134)=1,"Chiusura: non conta","Fuori periodo: non conta"))))</f>
        <v/>
      </c>
      <c r="G134" s="0" t="str">
        <f aca="false">IFERROR(MATCH(130,Giorni!$N$2:$N$367,0),"")</f>
        <v/>
      </c>
    </row>
    <row r="135" customFormat="false" ht="15" hidden="false" customHeight="false" outlineLevel="0" collapsed="false">
      <c r="A135" s="56" t="str">
        <f aca="false">IF(G135="","",131)</f>
        <v/>
      </c>
      <c r="B135" s="57" t="str">
        <f aca="false">IF(G135="","",INDEX(Giorni!$A$2:$A$367,G135))</f>
        <v/>
      </c>
      <c r="C135" s="56" t="str">
        <f aca="false">IF(G135="","",CHOOSE(WEEKDAY(B135,2),"lunedì","martedì","mercoledì","giovedì","venerdì","sabato","domenica"))</f>
        <v/>
      </c>
      <c r="D135" s="56" t="str">
        <f aca="false">IF(G135="","",IF(INDEX(Giorni!$I$2:$I$367,G135)="A","Assenza","Giustificata"))</f>
        <v/>
      </c>
      <c r="E135" s="56" t="str">
        <f aca="false">IF(G135="","",IF(INDEX(Giorni!$F$2:$F$367,G135)=1,"Sì","No"))</f>
        <v/>
      </c>
      <c r="F135" s="56" t="str">
        <f aca="false">IF(G135="","",IF(E135="Sì",IF(D135="Giustificata","Conta come presenza",""),IF(INDEX(Giorni!$D$2:$D$367,G135)=1,"Festività: non conta",IF(INDEX(Giorni!$E$2:$E$367,G135)=1,"Chiusura: non conta","Fuori periodo: non conta"))))</f>
        <v/>
      </c>
      <c r="G135" s="0" t="str">
        <f aca="false">IFERROR(MATCH(131,Giorni!$N$2:$N$367,0),"")</f>
        <v/>
      </c>
    </row>
    <row r="136" customFormat="false" ht="15" hidden="false" customHeight="false" outlineLevel="0" collapsed="false">
      <c r="A136" s="58" t="str">
        <f aca="false">IF(G136="","",132)</f>
        <v/>
      </c>
      <c r="B136" s="59" t="str">
        <f aca="false">IF(G136="","",INDEX(Giorni!$A$2:$A$367,G136))</f>
        <v/>
      </c>
      <c r="C136" s="58" t="str">
        <f aca="false">IF(G136="","",CHOOSE(WEEKDAY(B136,2),"lunedì","martedì","mercoledì","giovedì","venerdì","sabato","domenica"))</f>
        <v/>
      </c>
      <c r="D136" s="58" t="str">
        <f aca="false">IF(G136="","",IF(INDEX(Giorni!$I$2:$I$367,G136)="A","Assenza","Giustificata"))</f>
        <v/>
      </c>
      <c r="E136" s="58" t="str">
        <f aca="false">IF(G136="","",IF(INDEX(Giorni!$F$2:$F$367,G136)=1,"Sì","No"))</f>
        <v/>
      </c>
      <c r="F136" s="58" t="str">
        <f aca="false">IF(G136="","",IF(E136="Sì",IF(D136="Giustificata","Conta come presenza",""),IF(INDEX(Giorni!$D$2:$D$367,G136)=1,"Festività: non conta",IF(INDEX(Giorni!$E$2:$E$367,G136)=1,"Chiusura: non conta","Fuori periodo: non conta"))))</f>
        <v/>
      </c>
      <c r="G136" s="0" t="str">
        <f aca="false">IFERROR(MATCH(132,Giorni!$N$2:$N$367,0),"")</f>
        <v/>
      </c>
    </row>
    <row r="137" customFormat="false" ht="15" hidden="false" customHeight="false" outlineLevel="0" collapsed="false">
      <c r="A137" s="56" t="str">
        <f aca="false">IF(G137="","",133)</f>
        <v/>
      </c>
      <c r="B137" s="57" t="str">
        <f aca="false">IF(G137="","",INDEX(Giorni!$A$2:$A$367,G137))</f>
        <v/>
      </c>
      <c r="C137" s="56" t="str">
        <f aca="false">IF(G137="","",CHOOSE(WEEKDAY(B137,2),"lunedì","martedì","mercoledì","giovedì","venerdì","sabato","domenica"))</f>
        <v/>
      </c>
      <c r="D137" s="56" t="str">
        <f aca="false">IF(G137="","",IF(INDEX(Giorni!$I$2:$I$367,G137)="A","Assenza","Giustificata"))</f>
        <v/>
      </c>
      <c r="E137" s="56" t="str">
        <f aca="false">IF(G137="","",IF(INDEX(Giorni!$F$2:$F$367,G137)=1,"Sì","No"))</f>
        <v/>
      </c>
      <c r="F137" s="56" t="str">
        <f aca="false">IF(G137="","",IF(E137="Sì",IF(D137="Giustificata","Conta come presenza",""),IF(INDEX(Giorni!$D$2:$D$367,G137)=1,"Festività: non conta",IF(INDEX(Giorni!$E$2:$E$367,G137)=1,"Chiusura: non conta","Fuori periodo: non conta"))))</f>
        <v/>
      </c>
      <c r="G137" s="0" t="str">
        <f aca="false">IFERROR(MATCH(133,Giorni!$N$2:$N$367,0),"")</f>
        <v/>
      </c>
    </row>
    <row r="138" customFormat="false" ht="15" hidden="false" customHeight="false" outlineLevel="0" collapsed="false">
      <c r="A138" s="58" t="str">
        <f aca="false">IF(G138="","",134)</f>
        <v/>
      </c>
      <c r="B138" s="59" t="str">
        <f aca="false">IF(G138="","",INDEX(Giorni!$A$2:$A$367,G138))</f>
        <v/>
      </c>
      <c r="C138" s="58" t="str">
        <f aca="false">IF(G138="","",CHOOSE(WEEKDAY(B138,2),"lunedì","martedì","mercoledì","giovedì","venerdì","sabato","domenica"))</f>
        <v/>
      </c>
      <c r="D138" s="58" t="str">
        <f aca="false">IF(G138="","",IF(INDEX(Giorni!$I$2:$I$367,G138)="A","Assenza","Giustificata"))</f>
        <v/>
      </c>
      <c r="E138" s="58" t="str">
        <f aca="false">IF(G138="","",IF(INDEX(Giorni!$F$2:$F$367,G138)=1,"Sì","No"))</f>
        <v/>
      </c>
      <c r="F138" s="58" t="str">
        <f aca="false">IF(G138="","",IF(E138="Sì",IF(D138="Giustificata","Conta come presenza",""),IF(INDEX(Giorni!$D$2:$D$367,G138)=1,"Festività: non conta",IF(INDEX(Giorni!$E$2:$E$367,G138)=1,"Chiusura: non conta","Fuori periodo: non conta"))))</f>
        <v/>
      </c>
      <c r="G138" s="0" t="str">
        <f aca="false">IFERROR(MATCH(134,Giorni!$N$2:$N$367,0),"")</f>
        <v/>
      </c>
    </row>
    <row r="139" customFormat="false" ht="15" hidden="false" customHeight="false" outlineLevel="0" collapsed="false">
      <c r="A139" s="56" t="str">
        <f aca="false">IF(G139="","",135)</f>
        <v/>
      </c>
      <c r="B139" s="57" t="str">
        <f aca="false">IF(G139="","",INDEX(Giorni!$A$2:$A$367,G139))</f>
        <v/>
      </c>
      <c r="C139" s="56" t="str">
        <f aca="false">IF(G139="","",CHOOSE(WEEKDAY(B139,2),"lunedì","martedì","mercoledì","giovedì","venerdì","sabato","domenica"))</f>
        <v/>
      </c>
      <c r="D139" s="56" t="str">
        <f aca="false">IF(G139="","",IF(INDEX(Giorni!$I$2:$I$367,G139)="A","Assenza","Giustificata"))</f>
        <v/>
      </c>
      <c r="E139" s="56" t="str">
        <f aca="false">IF(G139="","",IF(INDEX(Giorni!$F$2:$F$367,G139)=1,"Sì","No"))</f>
        <v/>
      </c>
      <c r="F139" s="56" t="str">
        <f aca="false">IF(G139="","",IF(E139="Sì",IF(D139="Giustificata","Conta come presenza",""),IF(INDEX(Giorni!$D$2:$D$367,G139)=1,"Festività: non conta",IF(INDEX(Giorni!$E$2:$E$367,G139)=1,"Chiusura: non conta","Fuori periodo: non conta"))))</f>
        <v/>
      </c>
      <c r="G139" s="0" t="str">
        <f aca="false">IFERROR(MATCH(135,Giorni!$N$2:$N$367,0),"")</f>
        <v/>
      </c>
    </row>
    <row r="140" customFormat="false" ht="15" hidden="false" customHeight="false" outlineLevel="0" collapsed="false">
      <c r="A140" s="58" t="str">
        <f aca="false">IF(G140="","",136)</f>
        <v/>
      </c>
      <c r="B140" s="59" t="str">
        <f aca="false">IF(G140="","",INDEX(Giorni!$A$2:$A$367,G140))</f>
        <v/>
      </c>
      <c r="C140" s="58" t="str">
        <f aca="false">IF(G140="","",CHOOSE(WEEKDAY(B140,2),"lunedì","martedì","mercoledì","giovedì","venerdì","sabato","domenica"))</f>
        <v/>
      </c>
      <c r="D140" s="58" t="str">
        <f aca="false">IF(G140="","",IF(INDEX(Giorni!$I$2:$I$367,G140)="A","Assenza","Giustificata"))</f>
        <v/>
      </c>
      <c r="E140" s="58" t="str">
        <f aca="false">IF(G140="","",IF(INDEX(Giorni!$F$2:$F$367,G140)=1,"Sì","No"))</f>
        <v/>
      </c>
      <c r="F140" s="58" t="str">
        <f aca="false">IF(G140="","",IF(E140="Sì",IF(D140="Giustificata","Conta come presenza",""),IF(INDEX(Giorni!$D$2:$D$367,G140)=1,"Festività: non conta",IF(INDEX(Giorni!$E$2:$E$367,G140)=1,"Chiusura: non conta","Fuori periodo: non conta"))))</f>
        <v/>
      </c>
      <c r="G140" s="0" t="str">
        <f aca="false">IFERROR(MATCH(136,Giorni!$N$2:$N$367,0),"")</f>
        <v/>
      </c>
    </row>
    <row r="141" customFormat="false" ht="15" hidden="false" customHeight="false" outlineLevel="0" collapsed="false">
      <c r="A141" s="56" t="str">
        <f aca="false">IF(G141="","",137)</f>
        <v/>
      </c>
      <c r="B141" s="57" t="str">
        <f aca="false">IF(G141="","",INDEX(Giorni!$A$2:$A$367,G141))</f>
        <v/>
      </c>
      <c r="C141" s="56" t="str">
        <f aca="false">IF(G141="","",CHOOSE(WEEKDAY(B141,2),"lunedì","martedì","mercoledì","giovedì","venerdì","sabato","domenica"))</f>
        <v/>
      </c>
      <c r="D141" s="56" t="str">
        <f aca="false">IF(G141="","",IF(INDEX(Giorni!$I$2:$I$367,G141)="A","Assenza","Giustificata"))</f>
        <v/>
      </c>
      <c r="E141" s="56" t="str">
        <f aca="false">IF(G141="","",IF(INDEX(Giorni!$F$2:$F$367,G141)=1,"Sì","No"))</f>
        <v/>
      </c>
      <c r="F141" s="56" t="str">
        <f aca="false">IF(G141="","",IF(E141="Sì",IF(D141="Giustificata","Conta come presenza",""),IF(INDEX(Giorni!$D$2:$D$367,G141)=1,"Festività: non conta",IF(INDEX(Giorni!$E$2:$E$367,G141)=1,"Chiusura: non conta","Fuori periodo: non conta"))))</f>
        <v/>
      </c>
      <c r="G141" s="0" t="str">
        <f aca="false">IFERROR(MATCH(137,Giorni!$N$2:$N$367,0),"")</f>
        <v/>
      </c>
    </row>
    <row r="142" customFormat="false" ht="15" hidden="false" customHeight="false" outlineLevel="0" collapsed="false">
      <c r="A142" s="58" t="str">
        <f aca="false">IF(G142="","",138)</f>
        <v/>
      </c>
      <c r="B142" s="59" t="str">
        <f aca="false">IF(G142="","",INDEX(Giorni!$A$2:$A$367,G142))</f>
        <v/>
      </c>
      <c r="C142" s="58" t="str">
        <f aca="false">IF(G142="","",CHOOSE(WEEKDAY(B142,2),"lunedì","martedì","mercoledì","giovedì","venerdì","sabato","domenica"))</f>
        <v/>
      </c>
      <c r="D142" s="58" t="str">
        <f aca="false">IF(G142="","",IF(INDEX(Giorni!$I$2:$I$367,G142)="A","Assenza","Giustificata"))</f>
        <v/>
      </c>
      <c r="E142" s="58" t="str">
        <f aca="false">IF(G142="","",IF(INDEX(Giorni!$F$2:$F$367,G142)=1,"Sì","No"))</f>
        <v/>
      </c>
      <c r="F142" s="58" t="str">
        <f aca="false">IF(G142="","",IF(E142="Sì",IF(D142="Giustificata","Conta come presenza",""),IF(INDEX(Giorni!$D$2:$D$367,G142)=1,"Festività: non conta",IF(INDEX(Giorni!$E$2:$E$367,G142)=1,"Chiusura: non conta","Fuori periodo: non conta"))))</f>
        <v/>
      </c>
      <c r="G142" s="0" t="str">
        <f aca="false">IFERROR(MATCH(138,Giorni!$N$2:$N$367,0),"")</f>
        <v/>
      </c>
    </row>
    <row r="143" customFormat="false" ht="15" hidden="false" customHeight="false" outlineLevel="0" collapsed="false">
      <c r="A143" s="56" t="str">
        <f aca="false">IF(G143="","",139)</f>
        <v/>
      </c>
      <c r="B143" s="57" t="str">
        <f aca="false">IF(G143="","",INDEX(Giorni!$A$2:$A$367,G143))</f>
        <v/>
      </c>
      <c r="C143" s="56" t="str">
        <f aca="false">IF(G143="","",CHOOSE(WEEKDAY(B143,2),"lunedì","martedì","mercoledì","giovedì","venerdì","sabato","domenica"))</f>
        <v/>
      </c>
      <c r="D143" s="56" t="str">
        <f aca="false">IF(G143="","",IF(INDEX(Giorni!$I$2:$I$367,G143)="A","Assenza","Giustificata"))</f>
        <v/>
      </c>
      <c r="E143" s="56" t="str">
        <f aca="false">IF(G143="","",IF(INDEX(Giorni!$F$2:$F$367,G143)=1,"Sì","No"))</f>
        <v/>
      </c>
      <c r="F143" s="56" t="str">
        <f aca="false">IF(G143="","",IF(E143="Sì",IF(D143="Giustificata","Conta come presenza",""),IF(INDEX(Giorni!$D$2:$D$367,G143)=1,"Festività: non conta",IF(INDEX(Giorni!$E$2:$E$367,G143)=1,"Chiusura: non conta","Fuori periodo: non conta"))))</f>
        <v/>
      </c>
      <c r="G143" s="0" t="str">
        <f aca="false">IFERROR(MATCH(139,Giorni!$N$2:$N$367,0),"")</f>
        <v/>
      </c>
    </row>
    <row r="144" customFormat="false" ht="15" hidden="false" customHeight="false" outlineLevel="0" collapsed="false">
      <c r="A144" s="58" t="str">
        <f aca="false">IF(G144="","",140)</f>
        <v/>
      </c>
      <c r="B144" s="59" t="str">
        <f aca="false">IF(G144="","",INDEX(Giorni!$A$2:$A$367,G144))</f>
        <v/>
      </c>
      <c r="C144" s="58" t="str">
        <f aca="false">IF(G144="","",CHOOSE(WEEKDAY(B144,2),"lunedì","martedì","mercoledì","giovedì","venerdì","sabato","domenica"))</f>
        <v/>
      </c>
      <c r="D144" s="58" t="str">
        <f aca="false">IF(G144="","",IF(INDEX(Giorni!$I$2:$I$367,G144)="A","Assenza","Giustificata"))</f>
        <v/>
      </c>
      <c r="E144" s="58" t="str">
        <f aca="false">IF(G144="","",IF(INDEX(Giorni!$F$2:$F$367,G144)=1,"Sì","No"))</f>
        <v/>
      </c>
      <c r="F144" s="58" t="str">
        <f aca="false">IF(G144="","",IF(E144="Sì",IF(D144="Giustificata","Conta come presenza",""),IF(INDEX(Giorni!$D$2:$D$367,G144)=1,"Festività: non conta",IF(INDEX(Giorni!$E$2:$E$367,G144)=1,"Chiusura: non conta","Fuori periodo: non conta"))))</f>
        <v/>
      </c>
      <c r="G144" s="0" t="str">
        <f aca="false">IFERROR(MATCH(140,Giorni!$N$2:$N$367,0),"")</f>
        <v/>
      </c>
    </row>
    <row r="145" customFormat="false" ht="15" hidden="false" customHeight="false" outlineLevel="0" collapsed="false">
      <c r="A145" s="56" t="str">
        <f aca="false">IF(G145="","",141)</f>
        <v/>
      </c>
      <c r="B145" s="57" t="str">
        <f aca="false">IF(G145="","",INDEX(Giorni!$A$2:$A$367,G145))</f>
        <v/>
      </c>
      <c r="C145" s="56" t="str">
        <f aca="false">IF(G145="","",CHOOSE(WEEKDAY(B145,2),"lunedì","martedì","mercoledì","giovedì","venerdì","sabato","domenica"))</f>
        <v/>
      </c>
      <c r="D145" s="56" t="str">
        <f aca="false">IF(G145="","",IF(INDEX(Giorni!$I$2:$I$367,G145)="A","Assenza","Giustificata"))</f>
        <v/>
      </c>
      <c r="E145" s="56" t="str">
        <f aca="false">IF(G145="","",IF(INDEX(Giorni!$F$2:$F$367,G145)=1,"Sì","No"))</f>
        <v/>
      </c>
      <c r="F145" s="56" t="str">
        <f aca="false">IF(G145="","",IF(E145="Sì",IF(D145="Giustificata","Conta come presenza",""),IF(INDEX(Giorni!$D$2:$D$367,G145)=1,"Festività: non conta",IF(INDEX(Giorni!$E$2:$E$367,G145)=1,"Chiusura: non conta","Fuori periodo: non conta"))))</f>
        <v/>
      </c>
      <c r="G145" s="0" t="str">
        <f aca="false">IFERROR(MATCH(141,Giorni!$N$2:$N$367,0),"")</f>
        <v/>
      </c>
    </row>
    <row r="146" customFormat="false" ht="15" hidden="false" customHeight="false" outlineLevel="0" collapsed="false">
      <c r="A146" s="58" t="str">
        <f aca="false">IF(G146="","",142)</f>
        <v/>
      </c>
      <c r="B146" s="59" t="str">
        <f aca="false">IF(G146="","",INDEX(Giorni!$A$2:$A$367,G146))</f>
        <v/>
      </c>
      <c r="C146" s="58" t="str">
        <f aca="false">IF(G146="","",CHOOSE(WEEKDAY(B146,2),"lunedì","martedì","mercoledì","giovedì","venerdì","sabato","domenica"))</f>
        <v/>
      </c>
      <c r="D146" s="58" t="str">
        <f aca="false">IF(G146="","",IF(INDEX(Giorni!$I$2:$I$367,G146)="A","Assenza","Giustificata"))</f>
        <v/>
      </c>
      <c r="E146" s="58" t="str">
        <f aca="false">IF(G146="","",IF(INDEX(Giorni!$F$2:$F$367,G146)=1,"Sì","No"))</f>
        <v/>
      </c>
      <c r="F146" s="58" t="str">
        <f aca="false">IF(G146="","",IF(E146="Sì",IF(D146="Giustificata","Conta come presenza",""),IF(INDEX(Giorni!$D$2:$D$367,G146)=1,"Festività: non conta",IF(INDEX(Giorni!$E$2:$E$367,G146)=1,"Chiusura: non conta","Fuori periodo: non conta"))))</f>
        <v/>
      </c>
      <c r="G146" s="0" t="str">
        <f aca="false">IFERROR(MATCH(142,Giorni!$N$2:$N$367,0),"")</f>
        <v/>
      </c>
    </row>
    <row r="147" customFormat="false" ht="15" hidden="false" customHeight="false" outlineLevel="0" collapsed="false">
      <c r="A147" s="56" t="str">
        <f aca="false">IF(G147="","",143)</f>
        <v/>
      </c>
      <c r="B147" s="57" t="str">
        <f aca="false">IF(G147="","",INDEX(Giorni!$A$2:$A$367,G147))</f>
        <v/>
      </c>
      <c r="C147" s="56" t="str">
        <f aca="false">IF(G147="","",CHOOSE(WEEKDAY(B147,2),"lunedì","martedì","mercoledì","giovedì","venerdì","sabato","domenica"))</f>
        <v/>
      </c>
      <c r="D147" s="56" t="str">
        <f aca="false">IF(G147="","",IF(INDEX(Giorni!$I$2:$I$367,G147)="A","Assenza","Giustificata"))</f>
        <v/>
      </c>
      <c r="E147" s="56" t="str">
        <f aca="false">IF(G147="","",IF(INDEX(Giorni!$F$2:$F$367,G147)=1,"Sì","No"))</f>
        <v/>
      </c>
      <c r="F147" s="56" t="str">
        <f aca="false">IF(G147="","",IF(E147="Sì",IF(D147="Giustificata","Conta come presenza",""),IF(INDEX(Giorni!$D$2:$D$367,G147)=1,"Festività: non conta",IF(INDEX(Giorni!$E$2:$E$367,G147)=1,"Chiusura: non conta","Fuori periodo: non conta"))))</f>
        <v/>
      </c>
      <c r="G147" s="0" t="str">
        <f aca="false">IFERROR(MATCH(143,Giorni!$N$2:$N$367,0),"")</f>
        <v/>
      </c>
    </row>
    <row r="148" customFormat="false" ht="15" hidden="false" customHeight="false" outlineLevel="0" collapsed="false">
      <c r="A148" s="58" t="str">
        <f aca="false">IF(G148="","",144)</f>
        <v/>
      </c>
      <c r="B148" s="59" t="str">
        <f aca="false">IF(G148="","",INDEX(Giorni!$A$2:$A$367,G148))</f>
        <v/>
      </c>
      <c r="C148" s="58" t="str">
        <f aca="false">IF(G148="","",CHOOSE(WEEKDAY(B148,2),"lunedì","martedì","mercoledì","giovedì","venerdì","sabato","domenica"))</f>
        <v/>
      </c>
      <c r="D148" s="58" t="str">
        <f aca="false">IF(G148="","",IF(INDEX(Giorni!$I$2:$I$367,G148)="A","Assenza","Giustificata"))</f>
        <v/>
      </c>
      <c r="E148" s="58" t="str">
        <f aca="false">IF(G148="","",IF(INDEX(Giorni!$F$2:$F$367,G148)=1,"Sì","No"))</f>
        <v/>
      </c>
      <c r="F148" s="58" t="str">
        <f aca="false">IF(G148="","",IF(E148="Sì",IF(D148="Giustificata","Conta come presenza",""),IF(INDEX(Giorni!$D$2:$D$367,G148)=1,"Festività: non conta",IF(INDEX(Giorni!$E$2:$E$367,G148)=1,"Chiusura: non conta","Fuori periodo: non conta"))))</f>
        <v/>
      </c>
      <c r="G148" s="0" t="str">
        <f aca="false">IFERROR(MATCH(144,Giorni!$N$2:$N$367,0),"")</f>
        <v/>
      </c>
    </row>
    <row r="149" customFormat="false" ht="15" hidden="false" customHeight="false" outlineLevel="0" collapsed="false">
      <c r="A149" s="56" t="str">
        <f aca="false">IF(G149="","",145)</f>
        <v/>
      </c>
      <c r="B149" s="57" t="str">
        <f aca="false">IF(G149="","",INDEX(Giorni!$A$2:$A$367,G149))</f>
        <v/>
      </c>
      <c r="C149" s="56" t="str">
        <f aca="false">IF(G149="","",CHOOSE(WEEKDAY(B149,2),"lunedì","martedì","mercoledì","giovedì","venerdì","sabato","domenica"))</f>
        <v/>
      </c>
      <c r="D149" s="56" t="str">
        <f aca="false">IF(G149="","",IF(INDEX(Giorni!$I$2:$I$367,G149)="A","Assenza","Giustificata"))</f>
        <v/>
      </c>
      <c r="E149" s="56" t="str">
        <f aca="false">IF(G149="","",IF(INDEX(Giorni!$F$2:$F$367,G149)=1,"Sì","No"))</f>
        <v/>
      </c>
      <c r="F149" s="56" t="str">
        <f aca="false">IF(G149="","",IF(E149="Sì",IF(D149="Giustificata","Conta come presenza",""),IF(INDEX(Giorni!$D$2:$D$367,G149)=1,"Festività: non conta",IF(INDEX(Giorni!$E$2:$E$367,G149)=1,"Chiusura: non conta","Fuori periodo: non conta"))))</f>
        <v/>
      </c>
      <c r="G149" s="0" t="str">
        <f aca="false">IFERROR(MATCH(145,Giorni!$N$2:$N$367,0),"")</f>
        <v/>
      </c>
    </row>
    <row r="150" customFormat="false" ht="15" hidden="false" customHeight="false" outlineLevel="0" collapsed="false">
      <c r="A150" s="58" t="str">
        <f aca="false">IF(G150="","",146)</f>
        <v/>
      </c>
      <c r="B150" s="59" t="str">
        <f aca="false">IF(G150="","",INDEX(Giorni!$A$2:$A$367,G150))</f>
        <v/>
      </c>
      <c r="C150" s="58" t="str">
        <f aca="false">IF(G150="","",CHOOSE(WEEKDAY(B150,2),"lunedì","martedì","mercoledì","giovedì","venerdì","sabato","domenica"))</f>
        <v/>
      </c>
      <c r="D150" s="58" t="str">
        <f aca="false">IF(G150="","",IF(INDEX(Giorni!$I$2:$I$367,G150)="A","Assenza","Giustificata"))</f>
        <v/>
      </c>
      <c r="E150" s="58" t="str">
        <f aca="false">IF(G150="","",IF(INDEX(Giorni!$F$2:$F$367,G150)=1,"Sì","No"))</f>
        <v/>
      </c>
      <c r="F150" s="58" t="str">
        <f aca="false">IF(G150="","",IF(E150="Sì",IF(D150="Giustificata","Conta come presenza",""),IF(INDEX(Giorni!$D$2:$D$367,G150)=1,"Festività: non conta",IF(INDEX(Giorni!$E$2:$E$367,G150)=1,"Chiusura: non conta","Fuori periodo: non conta"))))</f>
        <v/>
      </c>
      <c r="G150" s="0" t="str">
        <f aca="false">IFERROR(MATCH(146,Giorni!$N$2:$N$367,0),"")</f>
        <v/>
      </c>
    </row>
    <row r="151" customFormat="false" ht="15" hidden="false" customHeight="false" outlineLevel="0" collapsed="false">
      <c r="A151" s="56" t="str">
        <f aca="false">IF(G151="","",147)</f>
        <v/>
      </c>
      <c r="B151" s="57" t="str">
        <f aca="false">IF(G151="","",INDEX(Giorni!$A$2:$A$367,G151))</f>
        <v/>
      </c>
      <c r="C151" s="56" t="str">
        <f aca="false">IF(G151="","",CHOOSE(WEEKDAY(B151,2),"lunedì","martedì","mercoledì","giovedì","venerdì","sabato","domenica"))</f>
        <v/>
      </c>
      <c r="D151" s="56" t="str">
        <f aca="false">IF(G151="","",IF(INDEX(Giorni!$I$2:$I$367,G151)="A","Assenza","Giustificata"))</f>
        <v/>
      </c>
      <c r="E151" s="56" t="str">
        <f aca="false">IF(G151="","",IF(INDEX(Giorni!$F$2:$F$367,G151)=1,"Sì","No"))</f>
        <v/>
      </c>
      <c r="F151" s="56" t="str">
        <f aca="false">IF(G151="","",IF(E151="Sì",IF(D151="Giustificata","Conta come presenza",""),IF(INDEX(Giorni!$D$2:$D$367,G151)=1,"Festività: non conta",IF(INDEX(Giorni!$E$2:$E$367,G151)=1,"Chiusura: non conta","Fuori periodo: non conta"))))</f>
        <v/>
      </c>
      <c r="G151" s="0" t="str">
        <f aca="false">IFERROR(MATCH(147,Giorni!$N$2:$N$367,0),"")</f>
        <v/>
      </c>
    </row>
    <row r="152" customFormat="false" ht="15" hidden="false" customHeight="false" outlineLevel="0" collapsed="false">
      <c r="A152" s="58" t="str">
        <f aca="false">IF(G152="","",148)</f>
        <v/>
      </c>
      <c r="B152" s="59" t="str">
        <f aca="false">IF(G152="","",INDEX(Giorni!$A$2:$A$367,G152))</f>
        <v/>
      </c>
      <c r="C152" s="58" t="str">
        <f aca="false">IF(G152="","",CHOOSE(WEEKDAY(B152,2),"lunedì","martedì","mercoledì","giovedì","venerdì","sabato","domenica"))</f>
        <v/>
      </c>
      <c r="D152" s="58" t="str">
        <f aca="false">IF(G152="","",IF(INDEX(Giorni!$I$2:$I$367,G152)="A","Assenza","Giustificata"))</f>
        <v/>
      </c>
      <c r="E152" s="58" t="str">
        <f aca="false">IF(G152="","",IF(INDEX(Giorni!$F$2:$F$367,G152)=1,"Sì","No"))</f>
        <v/>
      </c>
      <c r="F152" s="58" t="str">
        <f aca="false">IF(G152="","",IF(E152="Sì",IF(D152="Giustificata","Conta come presenza",""),IF(INDEX(Giorni!$D$2:$D$367,G152)=1,"Festività: non conta",IF(INDEX(Giorni!$E$2:$E$367,G152)=1,"Chiusura: non conta","Fuori periodo: non conta"))))</f>
        <v/>
      </c>
      <c r="G152" s="0" t="str">
        <f aca="false">IFERROR(MATCH(148,Giorni!$N$2:$N$367,0),"")</f>
        <v/>
      </c>
    </row>
    <row r="153" customFormat="false" ht="15" hidden="false" customHeight="false" outlineLevel="0" collapsed="false">
      <c r="A153" s="56" t="str">
        <f aca="false">IF(G153="","",149)</f>
        <v/>
      </c>
      <c r="B153" s="57" t="str">
        <f aca="false">IF(G153="","",INDEX(Giorni!$A$2:$A$367,G153))</f>
        <v/>
      </c>
      <c r="C153" s="56" t="str">
        <f aca="false">IF(G153="","",CHOOSE(WEEKDAY(B153,2),"lunedì","martedì","mercoledì","giovedì","venerdì","sabato","domenica"))</f>
        <v/>
      </c>
      <c r="D153" s="56" t="str">
        <f aca="false">IF(G153="","",IF(INDEX(Giorni!$I$2:$I$367,G153)="A","Assenza","Giustificata"))</f>
        <v/>
      </c>
      <c r="E153" s="56" t="str">
        <f aca="false">IF(G153="","",IF(INDEX(Giorni!$F$2:$F$367,G153)=1,"Sì","No"))</f>
        <v/>
      </c>
      <c r="F153" s="56" t="str">
        <f aca="false">IF(G153="","",IF(E153="Sì",IF(D153="Giustificata","Conta come presenza",""),IF(INDEX(Giorni!$D$2:$D$367,G153)=1,"Festività: non conta",IF(INDEX(Giorni!$E$2:$E$367,G153)=1,"Chiusura: non conta","Fuori periodo: non conta"))))</f>
        <v/>
      </c>
      <c r="G153" s="0" t="str">
        <f aca="false">IFERROR(MATCH(149,Giorni!$N$2:$N$367,0),"")</f>
        <v/>
      </c>
    </row>
    <row r="154" customFormat="false" ht="15" hidden="false" customHeight="false" outlineLevel="0" collapsed="false">
      <c r="A154" s="58" t="str">
        <f aca="false">IF(G154="","",150)</f>
        <v/>
      </c>
      <c r="B154" s="59" t="str">
        <f aca="false">IF(G154="","",INDEX(Giorni!$A$2:$A$367,G154))</f>
        <v/>
      </c>
      <c r="C154" s="58" t="str">
        <f aca="false">IF(G154="","",CHOOSE(WEEKDAY(B154,2),"lunedì","martedì","mercoledì","giovedì","venerdì","sabato","domenica"))</f>
        <v/>
      </c>
      <c r="D154" s="58" t="str">
        <f aca="false">IF(G154="","",IF(INDEX(Giorni!$I$2:$I$367,G154)="A","Assenza","Giustificata"))</f>
        <v/>
      </c>
      <c r="E154" s="58" t="str">
        <f aca="false">IF(G154="","",IF(INDEX(Giorni!$F$2:$F$367,G154)=1,"Sì","No"))</f>
        <v/>
      </c>
      <c r="F154" s="58" t="str">
        <f aca="false">IF(G154="","",IF(E154="Sì",IF(D154="Giustificata","Conta come presenza",""),IF(INDEX(Giorni!$D$2:$D$367,G154)=1,"Festività: non conta",IF(INDEX(Giorni!$E$2:$E$367,G154)=1,"Chiusura: non conta","Fuori periodo: non conta"))))</f>
        <v/>
      </c>
      <c r="G154" s="0" t="str">
        <f aca="false">IFERROR(MATCH(150,Giorni!$N$2:$N$367,0),"")</f>
        <v/>
      </c>
    </row>
    <row r="155" customFormat="false" ht="15" hidden="false" customHeight="false" outlineLevel="0" collapsed="false">
      <c r="A155" s="56" t="str">
        <f aca="false">IF(G155="","",151)</f>
        <v/>
      </c>
      <c r="B155" s="57" t="str">
        <f aca="false">IF(G155="","",INDEX(Giorni!$A$2:$A$367,G155))</f>
        <v/>
      </c>
      <c r="C155" s="56" t="str">
        <f aca="false">IF(G155="","",CHOOSE(WEEKDAY(B155,2),"lunedì","martedì","mercoledì","giovedì","venerdì","sabato","domenica"))</f>
        <v/>
      </c>
      <c r="D155" s="56" t="str">
        <f aca="false">IF(G155="","",IF(INDEX(Giorni!$I$2:$I$367,G155)="A","Assenza","Giustificata"))</f>
        <v/>
      </c>
      <c r="E155" s="56" t="str">
        <f aca="false">IF(G155="","",IF(INDEX(Giorni!$F$2:$F$367,G155)=1,"Sì","No"))</f>
        <v/>
      </c>
      <c r="F155" s="56" t="str">
        <f aca="false">IF(G155="","",IF(E155="Sì",IF(D155="Giustificata","Conta come presenza",""),IF(INDEX(Giorni!$D$2:$D$367,G155)=1,"Festività: non conta",IF(INDEX(Giorni!$E$2:$E$367,G155)=1,"Chiusura: non conta","Fuori periodo: non conta"))))</f>
        <v/>
      </c>
      <c r="G155" s="0" t="str">
        <f aca="false">IFERROR(MATCH(151,Giorni!$N$2:$N$367,0),"")</f>
        <v/>
      </c>
    </row>
    <row r="156" customFormat="false" ht="15" hidden="false" customHeight="false" outlineLevel="0" collapsed="false">
      <c r="A156" s="58" t="str">
        <f aca="false">IF(G156="","",152)</f>
        <v/>
      </c>
      <c r="B156" s="59" t="str">
        <f aca="false">IF(G156="","",INDEX(Giorni!$A$2:$A$367,G156))</f>
        <v/>
      </c>
      <c r="C156" s="58" t="str">
        <f aca="false">IF(G156="","",CHOOSE(WEEKDAY(B156,2),"lunedì","martedì","mercoledì","giovedì","venerdì","sabato","domenica"))</f>
        <v/>
      </c>
      <c r="D156" s="58" t="str">
        <f aca="false">IF(G156="","",IF(INDEX(Giorni!$I$2:$I$367,G156)="A","Assenza","Giustificata"))</f>
        <v/>
      </c>
      <c r="E156" s="58" t="str">
        <f aca="false">IF(G156="","",IF(INDEX(Giorni!$F$2:$F$367,G156)=1,"Sì","No"))</f>
        <v/>
      </c>
      <c r="F156" s="58" t="str">
        <f aca="false">IF(G156="","",IF(E156="Sì",IF(D156="Giustificata","Conta come presenza",""),IF(INDEX(Giorni!$D$2:$D$367,G156)=1,"Festività: non conta",IF(INDEX(Giorni!$E$2:$E$367,G156)=1,"Chiusura: non conta","Fuori periodo: non conta"))))</f>
        <v/>
      </c>
      <c r="G156" s="0" t="str">
        <f aca="false">IFERROR(MATCH(152,Giorni!$N$2:$N$367,0),"")</f>
        <v/>
      </c>
    </row>
    <row r="157" customFormat="false" ht="15" hidden="false" customHeight="false" outlineLevel="0" collapsed="false">
      <c r="A157" s="56" t="str">
        <f aca="false">IF(G157="","",153)</f>
        <v/>
      </c>
      <c r="B157" s="57" t="str">
        <f aca="false">IF(G157="","",INDEX(Giorni!$A$2:$A$367,G157))</f>
        <v/>
      </c>
      <c r="C157" s="56" t="str">
        <f aca="false">IF(G157="","",CHOOSE(WEEKDAY(B157,2),"lunedì","martedì","mercoledì","giovedì","venerdì","sabato","domenica"))</f>
        <v/>
      </c>
      <c r="D157" s="56" t="str">
        <f aca="false">IF(G157="","",IF(INDEX(Giorni!$I$2:$I$367,G157)="A","Assenza","Giustificata"))</f>
        <v/>
      </c>
      <c r="E157" s="56" t="str">
        <f aca="false">IF(G157="","",IF(INDEX(Giorni!$F$2:$F$367,G157)=1,"Sì","No"))</f>
        <v/>
      </c>
      <c r="F157" s="56" t="str">
        <f aca="false">IF(G157="","",IF(E157="Sì",IF(D157="Giustificata","Conta come presenza",""),IF(INDEX(Giorni!$D$2:$D$367,G157)=1,"Festività: non conta",IF(INDEX(Giorni!$E$2:$E$367,G157)=1,"Chiusura: non conta","Fuori periodo: non conta"))))</f>
        <v/>
      </c>
      <c r="G157" s="0" t="str">
        <f aca="false">IFERROR(MATCH(153,Giorni!$N$2:$N$367,0),"")</f>
        <v/>
      </c>
    </row>
    <row r="158" customFormat="false" ht="15" hidden="false" customHeight="false" outlineLevel="0" collapsed="false">
      <c r="A158" s="58" t="str">
        <f aca="false">IF(G158="","",154)</f>
        <v/>
      </c>
      <c r="B158" s="59" t="str">
        <f aca="false">IF(G158="","",INDEX(Giorni!$A$2:$A$367,G158))</f>
        <v/>
      </c>
      <c r="C158" s="58" t="str">
        <f aca="false">IF(G158="","",CHOOSE(WEEKDAY(B158,2),"lunedì","martedì","mercoledì","giovedì","venerdì","sabato","domenica"))</f>
        <v/>
      </c>
      <c r="D158" s="58" t="str">
        <f aca="false">IF(G158="","",IF(INDEX(Giorni!$I$2:$I$367,G158)="A","Assenza","Giustificata"))</f>
        <v/>
      </c>
      <c r="E158" s="58" t="str">
        <f aca="false">IF(G158="","",IF(INDEX(Giorni!$F$2:$F$367,G158)=1,"Sì","No"))</f>
        <v/>
      </c>
      <c r="F158" s="58" t="str">
        <f aca="false">IF(G158="","",IF(E158="Sì",IF(D158="Giustificata","Conta come presenza",""),IF(INDEX(Giorni!$D$2:$D$367,G158)=1,"Festività: non conta",IF(INDEX(Giorni!$E$2:$E$367,G158)=1,"Chiusura: non conta","Fuori periodo: non conta"))))</f>
        <v/>
      </c>
      <c r="G158" s="0" t="str">
        <f aca="false">IFERROR(MATCH(154,Giorni!$N$2:$N$367,0),"")</f>
        <v/>
      </c>
    </row>
    <row r="159" customFormat="false" ht="15" hidden="false" customHeight="false" outlineLevel="0" collapsed="false">
      <c r="A159" s="56" t="str">
        <f aca="false">IF(G159="","",155)</f>
        <v/>
      </c>
      <c r="B159" s="57" t="str">
        <f aca="false">IF(G159="","",INDEX(Giorni!$A$2:$A$367,G159))</f>
        <v/>
      </c>
      <c r="C159" s="56" t="str">
        <f aca="false">IF(G159="","",CHOOSE(WEEKDAY(B159,2),"lunedì","martedì","mercoledì","giovedì","venerdì","sabato","domenica"))</f>
        <v/>
      </c>
      <c r="D159" s="56" t="str">
        <f aca="false">IF(G159="","",IF(INDEX(Giorni!$I$2:$I$367,G159)="A","Assenza","Giustificata"))</f>
        <v/>
      </c>
      <c r="E159" s="56" t="str">
        <f aca="false">IF(G159="","",IF(INDEX(Giorni!$F$2:$F$367,G159)=1,"Sì","No"))</f>
        <v/>
      </c>
      <c r="F159" s="56" t="str">
        <f aca="false">IF(G159="","",IF(E159="Sì",IF(D159="Giustificata","Conta come presenza",""),IF(INDEX(Giorni!$D$2:$D$367,G159)=1,"Festività: non conta",IF(INDEX(Giorni!$E$2:$E$367,G159)=1,"Chiusura: non conta","Fuori periodo: non conta"))))</f>
        <v/>
      </c>
      <c r="G159" s="0" t="str">
        <f aca="false">IFERROR(MATCH(155,Giorni!$N$2:$N$367,0),"")</f>
        <v/>
      </c>
    </row>
    <row r="160" customFormat="false" ht="15" hidden="false" customHeight="false" outlineLevel="0" collapsed="false">
      <c r="A160" s="58" t="str">
        <f aca="false">IF(G160="","",156)</f>
        <v/>
      </c>
      <c r="B160" s="59" t="str">
        <f aca="false">IF(G160="","",INDEX(Giorni!$A$2:$A$367,G160))</f>
        <v/>
      </c>
      <c r="C160" s="58" t="str">
        <f aca="false">IF(G160="","",CHOOSE(WEEKDAY(B160,2),"lunedì","martedì","mercoledì","giovedì","venerdì","sabato","domenica"))</f>
        <v/>
      </c>
      <c r="D160" s="58" t="str">
        <f aca="false">IF(G160="","",IF(INDEX(Giorni!$I$2:$I$367,G160)="A","Assenza","Giustificata"))</f>
        <v/>
      </c>
      <c r="E160" s="58" t="str">
        <f aca="false">IF(G160="","",IF(INDEX(Giorni!$F$2:$F$367,G160)=1,"Sì","No"))</f>
        <v/>
      </c>
      <c r="F160" s="58" t="str">
        <f aca="false">IF(G160="","",IF(E160="Sì",IF(D160="Giustificata","Conta come presenza",""),IF(INDEX(Giorni!$D$2:$D$367,G160)=1,"Festività: non conta",IF(INDEX(Giorni!$E$2:$E$367,G160)=1,"Chiusura: non conta","Fuori periodo: non conta"))))</f>
        <v/>
      </c>
      <c r="G160" s="0" t="str">
        <f aca="false">IFERROR(MATCH(156,Giorni!$N$2:$N$367,0),"")</f>
        <v/>
      </c>
    </row>
    <row r="161" customFormat="false" ht="15" hidden="false" customHeight="false" outlineLevel="0" collapsed="false">
      <c r="A161" s="56" t="str">
        <f aca="false">IF(G161="","",157)</f>
        <v/>
      </c>
      <c r="B161" s="57" t="str">
        <f aca="false">IF(G161="","",INDEX(Giorni!$A$2:$A$367,G161))</f>
        <v/>
      </c>
      <c r="C161" s="56" t="str">
        <f aca="false">IF(G161="","",CHOOSE(WEEKDAY(B161,2),"lunedì","martedì","mercoledì","giovedì","venerdì","sabato","domenica"))</f>
        <v/>
      </c>
      <c r="D161" s="56" t="str">
        <f aca="false">IF(G161="","",IF(INDEX(Giorni!$I$2:$I$367,G161)="A","Assenza","Giustificata"))</f>
        <v/>
      </c>
      <c r="E161" s="56" t="str">
        <f aca="false">IF(G161="","",IF(INDEX(Giorni!$F$2:$F$367,G161)=1,"Sì","No"))</f>
        <v/>
      </c>
      <c r="F161" s="56" t="str">
        <f aca="false">IF(G161="","",IF(E161="Sì",IF(D161="Giustificata","Conta come presenza",""),IF(INDEX(Giorni!$D$2:$D$367,G161)=1,"Festività: non conta",IF(INDEX(Giorni!$E$2:$E$367,G161)=1,"Chiusura: non conta","Fuori periodo: non conta"))))</f>
        <v/>
      </c>
      <c r="G161" s="0" t="str">
        <f aca="false">IFERROR(MATCH(157,Giorni!$N$2:$N$367,0),"")</f>
        <v/>
      </c>
    </row>
    <row r="162" customFormat="false" ht="15" hidden="false" customHeight="false" outlineLevel="0" collapsed="false">
      <c r="A162" s="58" t="str">
        <f aca="false">IF(G162="","",158)</f>
        <v/>
      </c>
      <c r="B162" s="59" t="str">
        <f aca="false">IF(G162="","",INDEX(Giorni!$A$2:$A$367,G162))</f>
        <v/>
      </c>
      <c r="C162" s="58" t="str">
        <f aca="false">IF(G162="","",CHOOSE(WEEKDAY(B162,2),"lunedì","martedì","mercoledì","giovedì","venerdì","sabato","domenica"))</f>
        <v/>
      </c>
      <c r="D162" s="58" t="str">
        <f aca="false">IF(G162="","",IF(INDEX(Giorni!$I$2:$I$367,G162)="A","Assenza","Giustificata"))</f>
        <v/>
      </c>
      <c r="E162" s="58" t="str">
        <f aca="false">IF(G162="","",IF(INDEX(Giorni!$F$2:$F$367,G162)=1,"Sì","No"))</f>
        <v/>
      </c>
      <c r="F162" s="58" t="str">
        <f aca="false">IF(G162="","",IF(E162="Sì",IF(D162="Giustificata","Conta come presenza",""),IF(INDEX(Giorni!$D$2:$D$367,G162)=1,"Festività: non conta",IF(INDEX(Giorni!$E$2:$E$367,G162)=1,"Chiusura: non conta","Fuori periodo: non conta"))))</f>
        <v/>
      </c>
      <c r="G162" s="0" t="str">
        <f aca="false">IFERROR(MATCH(158,Giorni!$N$2:$N$367,0),"")</f>
        <v/>
      </c>
    </row>
    <row r="163" customFormat="false" ht="15" hidden="false" customHeight="false" outlineLevel="0" collapsed="false">
      <c r="A163" s="56" t="str">
        <f aca="false">IF(G163="","",159)</f>
        <v/>
      </c>
      <c r="B163" s="57" t="str">
        <f aca="false">IF(G163="","",INDEX(Giorni!$A$2:$A$367,G163))</f>
        <v/>
      </c>
      <c r="C163" s="56" t="str">
        <f aca="false">IF(G163="","",CHOOSE(WEEKDAY(B163,2),"lunedì","martedì","mercoledì","giovedì","venerdì","sabato","domenica"))</f>
        <v/>
      </c>
      <c r="D163" s="56" t="str">
        <f aca="false">IF(G163="","",IF(INDEX(Giorni!$I$2:$I$367,G163)="A","Assenza","Giustificata"))</f>
        <v/>
      </c>
      <c r="E163" s="56" t="str">
        <f aca="false">IF(G163="","",IF(INDEX(Giorni!$F$2:$F$367,G163)=1,"Sì","No"))</f>
        <v/>
      </c>
      <c r="F163" s="56" t="str">
        <f aca="false">IF(G163="","",IF(E163="Sì",IF(D163="Giustificata","Conta come presenza",""),IF(INDEX(Giorni!$D$2:$D$367,G163)=1,"Festività: non conta",IF(INDEX(Giorni!$E$2:$E$367,G163)=1,"Chiusura: non conta","Fuori periodo: non conta"))))</f>
        <v/>
      </c>
      <c r="G163" s="0" t="str">
        <f aca="false">IFERROR(MATCH(159,Giorni!$N$2:$N$367,0),"")</f>
        <v/>
      </c>
    </row>
    <row r="164" customFormat="false" ht="15" hidden="false" customHeight="false" outlineLevel="0" collapsed="false">
      <c r="A164" s="58" t="str">
        <f aca="false">IF(G164="","",160)</f>
        <v/>
      </c>
      <c r="B164" s="59" t="str">
        <f aca="false">IF(G164="","",INDEX(Giorni!$A$2:$A$367,G164))</f>
        <v/>
      </c>
      <c r="C164" s="58" t="str">
        <f aca="false">IF(G164="","",CHOOSE(WEEKDAY(B164,2),"lunedì","martedì","mercoledì","giovedì","venerdì","sabato","domenica"))</f>
        <v/>
      </c>
      <c r="D164" s="58" t="str">
        <f aca="false">IF(G164="","",IF(INDEX(Giorni!$I$2:$I$367,G164)="A","Assenza","Giustificata"))</f>
        <v/>
      </c>
      <c r="E164" s="58" t="str">
        <f aca="false">IF(G164="","",IF(INDEX(Giorni!$F$2:$F$367,G164)=1,"Sì","No"))</f>
        <v/>
      </c>
      <c r="F164" s="58" t="str">
        <f aca="false">IF(G164="","",IF(E164="Sì",IF(D164="Giustificata","Conta come presenza",""),IF(INDEX(Giorni!$D$2:$D$367,G164)=1,"Festività: non conta",IF(INDEX(Giorni!$E$2:$E$367,G164)=1,"Chiusura: non conta","Fuori periodo: non conta"))))</f>
        <v/>
      </c>
      <c r="G164" s="0" t="str">
        <f aca="false">IFERROR(MATCH(160,Giorni!$N$2:$N$367,0),"")</f>
        <v/>
      </c>
    </row>
    <row r="165" customFormat="false" ht="15" hidden="false" customHeight="false" outlineLevel="0" collapsed="false">
      <c r="A165" s="56" t="str">
        <f aca="false">IF(G165="","",161)</f>
        <v/>
      </c>
      <c r="B165" s="57" t="str">
        <f aca="false">IF(G165="","",INDEX(Giorni!$A$2:$A$367,G165))</f>
        <v/>
      </c>
      <c r="C165" s="56" t="str">
        <f aca="false">IF(G165="","",CHOOSE(WEEKDAY(B165,2),"lunedì","martedì","mercoledì","giovedì","venerdì","sabato","domenica"))</f>
        <v/>
      </c>
      <c r="D165" s="56" t="str">
        <f aca="false">IF(G165="","",IF(INDEX(Giorni!$I$2:$I$367,G165)="A","Assenza","Giustificata"))</f>
        <v/>
      </c>
      <c r="E165" s="56" t="str">
        <f aca="false">IF(G165="","",IF(INDEX(Giorni!$F$2:$F$367,G165)=1,"Sì","No"))</f>
        <v/>
      </c>
      <c r="F165" s="56" t="str">
        <f aca="false">IF(G165="","",IF(E165="Sì",IF(D165="Giustificata","Conta come presenza",""),IF(INDEX(Giorni!$D$2:$D$367,G165)=1,"Festività: non conta",IF(INDEX(Giorni!$E$2:$E$367,G165)=1,"Chiusura: non conta","Fuori periodo: non conta"))))</f>
        <v/>
      </c>
      <c r="G165" s="0" t="str">
        <f aca="false">IFERROR(MATCH(161,Giorni!$N$2:$N$367,0),"")</f>
        <v/>
      </c>
    </row>
    <row r="166" customFormat="false" ht="15" hidden="false" customHeight="false" outlineLevel="0" collapsed="false">
      <c r="A166" s="58" t="str">
        <f aca="false">IF(G166="","",162)</f>
        <v/>
      </c>
      <c r="B166" s="59" t="str">
        <f aca="false">IF(G166="","",INDEX(Giorni!$A$2:$A$367,G166))</f>
        <v/>
      </c>
      <c r="C166" s="58" t="str">
        <f aca="false">IF(G166="","",CHOOSE(WEEKDAY(B166,2),"lunedì","martedì","mercoledì","giovedì","venerdì","sabato","domenica"))</f>
        <v/>
      </c>
      <c r="D166" s="58" t="str">
        <f aca="false">IF(G166="","",IF(INDEX(Giorni!$I$2:$I$367,G166)="A","Assenza","Giustificata"))</f>
        <v/>
      </c>
      <c r="E166" s="58" t="str">
        <f aca="false">IF(G166="","",IF(INDEX(Giorni!$F$2:$F$367,G166)=1,"Sì","No"))</f>
        <v/>
      </c>
      <c r="F166" s="58" t="str">
        <f aca="false">IF(G166="","",IF(E166="Sì",IF(D166="Giustificata","Conta come presenza",""),IF(INDEX(Giorni!$D$2:$D$367,G166)=1,"Festività: non conta",IF(INDEX(Giorni!$E$2:$E$367,G166)=1,"Chiusura: non conta","Fuori periodo: non conta"))))</f>
        <v/>
      </c>
      <c r="G166" s="0" t="str">
        <f aca="false">IFERROR(MATCH(162,Giorni!$N$2:$N$367,0),"")</f>
        <v/>
      </c>
    </row>
    <row r="167" customFormat="false" ht="15" hidden="false" customHeight="false" outlineLevel="0" collapsed="false">
      <c r="A167" s="56" t="str">
        <f aca="false">IF(G167="","",163)</f>
        <v/>
      </c>
      <c r="B167" s="57" t="str">
        <f aca="false">IF(G167="","",INDEX(Giorni!$A$2:$A$367,G167))</f>
        <v/>
      </c>
      <c r="C167" s="56" t="str">
        <f aca="false">IF(G167="","",CHOOSE(WEEKDAY(B167,2),"lunedì","martedì","mercoledì","giovedì","venerdì","sabato","domenica"))</f>
        <v/>
      </c>
      <c r="D167" s="56" t="str">
        <f aca="false">IF(G167="","",IF(INDEX(Giorni!$I$2:$I$367,G167)="A","Assenza","Giustificata"))</f>
        <v/>
      </c>
      <c r="E167" s="56" t="str">
        <f aca="false">IF(G167="","",IF(INDEX(Giorni!$F$2:$F$367,G167)=1,"Sì","No"))</f>
        <v/>
      </c>
      <c r="F167" s="56" t="str">
        <f aca="false">IF(G167="","",IF(E167="Sì",IF(D167="Giustificata","Conta come presenza",""),IF(INDEX(Giorni!$D$2:$D$367,G167)=1,"Festività: non conta",IF(INDEX(Giorni!$E$2:$E$367,G167)=1,"Chiusura: non conta","Fuori periodo: non conta"))))</f>
        <v/>
      </c>
      <c r="G167" s="0" t="str">
        <f aca="false">IFERROR(MATCH(163,Giorni!$N$2:$N$367,0),"")</f>
        <v/>
      </c>
    </row>
    <row r="168" customFormat="false" ht="15" hidden="false" customHeight="false" outlineLevel="0" collapsed="false">
      <c r="A168" s="58" t="str">
        <f aca="false">IF(G168="","",164)</f>
        <v/>
      </c>
      <c r="B168" s="59" t="str">
        <f aca="false">IF(G168="","",INDEX(Giorni!$A$2:$A$367,G168))</f>
        <v/>
      </c>
      <c r="C168" s="58" t="str">
        <f aca="false">IF(G168="","",CHOOSE(WEEKDAY(B168,2),"lunedì","martedì","mercoledì","giovedì","venerdì","sabato","domenica"))</f>
        <v/>
      </c>
      <c r="D168" s="58" t="str">
        <f aca="false">IF(G168="","",IF(INDEX(Giorni!$I$2:$I$367,G168)="A","Assenza","Giustificata"))</f>
        <v/>
      </c>
      <c r="E168" s="58" t="str">
        <f aca="false">IF(G168="","",IF(INDEX(Giorni!$F$2:$F$367,G168)=1,"Sì","No"))</f>
        <v/>
      </c>
      <c r="F168" s="58" t="str">
        <f aca="false">IF(G168="","",IF(E168="Sì",IF(D168="Giustificata","Conta come presenza",""),IF(INDEX(Giorni!$D$2:$D$367,G168)=1,"Festività: non conta",IF(INDEX(Giorni!$E$2:$E$367,G168)=1,"Chiusura: non conta","Fuori periodo: non conta"))))</f>
        <v/>
      </c>
      <c r="G168" s="0" t="str">
        <f aca="false">IFERROR(MATCH(164,Giorni!$N$2:$N$367,0),"")</f>
        <v/>
      </c>
    </row>
    <row r="169" customFormat="false" ht="15" hidden="false" customHeight="false" outlineLevel="0" collapsed="false">
      <c r="A169" s="56" t="str">
        <f aca="false">IF(G169="","",165)</f>
        <v/>
      </c>
      <c r="B169" s="57" t="str">
        <f aca="false">IF(G169="","",INDEX(Giorni!$A$2:$A$367,G169))</f>
        <v/>
      </c>
      <c r="C169" s="56" t="str">
        <f aca="false">IF(G169="","",CHOOSE(WEEKDAY(B169,2),"lunedì","martedì","mercoledì","giovedì","venerdì","sabato","domenica"))</f>
        <v/>
      </c>
      <c r="D169" s="56" t="str">
        <f aca="false">IF(G169="","",IF(INDEX(Giorni!$I$2:$I$367,G169)="A","Assenza","Giustificata"))</f>
        <v/>
      </c>
      <c r="E169" s="56" t="str">
        <f aca="false">IF(G169="","",IF(INDEX(Giorni!$F$2:$F$367,G169)=1,"Sì","No"))</f>
        <v/>
      </c>
      <c r="F169" s="56" t="str">
        <f aca="false">IF(G169="","",IF(E169="Sì",IF(D169="Giustificata","Conta come presenza",""),IF(INDEX(Giorni!$D$2:$D$367,G169)=1,"Festività: non conta",IF(INDEX(Giorni!$E$2:$E$367,G169)=1,"Chiusura: non conta","Fuori periodo: non conta"))))</f>
        <v/>
      </c>
      <c r="G169" s="0" t="str">
        <f aca="false">IFERROR(MATCH(165,Giorni!$N$2:$N$367,0),"")</f>
        <v/>
      </c>
    </row>
    <row r="170" customFormat="false" ht="15" hidden="false" customHeight="false" outlineLevel="0" collapsed="false">
      <c r="A170" s="58" t="str">
        <f aca="false">IF(G170="","",166)</f>
        <v/>
      </c>
      <c r="B170" s="59" t="str">
        <f aca="false">IF(G170="","",INDEX(Giorni!$A$2:$A$367,G170))</f>
        <v/>
      </c>
      <c r="C170" s="58" t="str">
        <f aca="false">IF(G170="","",CHOOSE(WEEKDAY(B170,2),"lunedì","martedì","mercoledì","giovedì","venerdì","sabato","domenica"))</f>
        <v/>
      </c>
      <c r="D170" s="58" t="str">
        <f aca="false">IF(G170="","",IF(INDEX(Giorni!$I$2:$I$367,G170)="A","Assenza","Giustificata"))</f>
        <v/>
      </c>
      <c r="E170" s="58" t="str">
        <f aca="false">IF(G170="","",IF(INDEX(Giorni!$F$2:$F$367,G170)=1,"Sì","No"))</f>
        <v/>
      </c>
      <c r="F170" s="58" t="str">
        <f aca="false">IF(G170="","",IF(E170="Sì",IF(D170="Giustificata","Conta come presenza",""),IF(INDEX(Giorni!$D$2:$D$367,G170)=1,"Festività: non conta",IF(INDEX(Giorni!$E$2:$E$367,G170)=1,"Chiusura: non conta","Fuori periodo: non conta"))))</f>
        <v/>
      </c>
      <c r="G170" s="0" t="str">
        <f aca="false">IFERROR(MATCH(166,Giorni!$N$2:$N$367,0),"")</f>
        <v/>
      </c>
    </row>
    <row r="171" customFormat="false" ht="15" hidden="false" customHeight="false" outlineLevel="0" collapsed="false">
      <c r="A171" s="56" t="str">
        <f aca="false">IF(G171="","",167)</f>
        <v/>
      </c>
      <c r="B171" s="57" t="str">
        <f aca="false">IF(G171="","",INDEX(Giorni!$A$2:$A$367,G171))</f>
        <v/>
      </c>
      <c r="C171" s="56" t="str">
        <f aca="false">IF(G171="","",CHOOSE(WEEKDAY(B171,2),"lunedì","martedì","mercoledì","giovedì","venerdì","sabato","domenica"))</f>
        <v/>
      </c>
      <c r="D171" s="56" t="str">
        <f aca="false">IF(G171="","",IF(INDEX(Giorni!$I$2:$I$367,G171)="A","Assenza","Giustificata"))</f>
        <v/>
      </c>
      <c r="E171" s="56" t="str">
        <f aca="false">IF(G171="","",IF(INDEX(Giorni!$F$2:$F$367,G171)=1,"Sì","No"))</f>
        <v/>
      </c>
      <c r="F171" s="56" t="str">
        <f aca="false">IF(G171="","",IF(E171="Sì",IF(D171="Giustificata","Conta come presenza",""),IF(INDEX(Giorni!$D$2:$D$367,G171)=1,"Festività: non conta",IF(INDEX(Giorni!$E$2:$E$367,G171)=1,"Chiusura: non conta","Fuori periodo: non conta"))))</f>
        <v/>
      </c>
      <c r="G171" s="0" t="str">
        <f aca="false">IFERROR(MATCH(167,Giorni!$N$2:$N$367,0),"")</f>
        <v/>
      </c>
    </row>
    <row r="172" customFormat="false" ht="15" hidden="false" customHeight="false" outlineLevel="0" collapsed="false">
      <c r="A172" s="58" t="str">
        <f aca="false">IF(G172="","",168)</f>
        <v/>
      </c>
      <c r="B172" s="59" t="str">
        <f aca="false">IF(G172="","",INDEX(Giorni!$A$2:$A$367,G172))</f>
        <v/>
      </c>
      <c r="C172" s="58" t="str">
        <f aca="false">IF(G172="","",CHOOSE(WEEKDAY(B172,2),"lunedì","martedì","mercoledì","giovedì","venerdì","sabato","domenica"))</f>
        <v/>
      </c>
      <c r="D172" s="58" t="str">
        <f aca="false">IF(G172="","",IF(INDEX(Giorni!$I$2:$I$367,G172)="A","Assenza","Giustificata"))</f>
        <v/>
      </c>
      <c r="E172" s="58" t="str">
        <f aca="false">IF(G172="","",IF(INDEX(Giorni!$F$2:$F$367,G172)=1,"Sì","No"))</f>
        <v/>
      </c>
      <c r="F172" s="58" t="str">
        <f aca="false">IF(G172="","",IF(E172="Sì",IF(D172="Giustificata","Conta come presenza",""),IF(INDEX(Giorni!$D$2:$D$367,G172)=1,"Festività: non conta",IF(INDEX(Giorni!$E$2:$E$367,G172)=1,"Chiusura: non conta","Fuori periodo: non conta"))))</f>
        <v/>
      </c>
      <c r="G172" s="0" t="str">
        <f aca="false">IFERROR(MATCH(168,Giorni!$N$2:$N$367,0),"")</f>
        <v/>
      </c>
    </row>
    <row r="173" customFormat="false" ht="15" hidden="false" customHeight="false" outlineLevel="0" collapsed="false">
      <c r="A173" s="56" t="str">
        <f aca="false">IF(G173="","",169)</f>
        <v/>
      </c>
      <c r="B173" s="57" t="str">
        <f aca="false">IF(G173="","",INDEX(Giorni!$A$2:$A$367,G173))</f>
        <v/>
      </c>
      <c r="C173" s="56" t="str">
        <f aca="false">IF(G173="","",CHOOSE(WEEKDAY(B173,2),"lunedì","martedì","mercoledì","giovedì","venerdì","sabato","domenica"))</f>
        <v/>
      </c>
      <c r="D173" s="56" t="str">
        <f aca="false">IF(G173="","",IF(INDEX(Giorni!$I$2:$I$367,G173)="A","Assenza","Giustificata"))</f>
        <v/>
      </c>
      <c r="E173" s="56" t="str">
        <f aca="false">IF(G173="","",IF(INDEX(Giorni!$F$2:$F$367,G173)=1,"Sì","No"))</f>
        <v/>
      </c>
      <c r="F173" s="56" t="str">
        <f aca="false">IF(G173="","",IF(E173="Sì",IF(D173="Giustificata","Conta come presenza",""),IF(INDEX(Giorni!$D$2:$D$367,G173)=1,"Festività: non conta",IF(INDEX(Giorni!$E$2:$E$367,G173)=1,"Chiusura: non conta","Fuori periodo: non conta"))))</f>
        <v/>
      </c>
      <c r="G173" s="0" t="str">
        <f aca="false">IFERROR(MATCH(169,Giorni!$N$2:$N$367,0),"")</f>
        <v/>
      </c>
    </row>
    <row r="174" customFormat="false" ht="15" hidden="false" customHeight="false" outlineLevel="0" collapsed="false">
      <c r="A174" s="58" t="str">
        <f aca="false">IF(G174="","",170)</f>
        <v/>
      </c>
      <c r="B174" s="59" t="str">
        <f aca="false">IF(G174="","",INDEX(Giorni!$A$2:$A$367,G174))</f>
        <v/>
      </c>
      <c r="C174" s="58" t="str">
        <f aca="false">IF(G174="","",CHOOSE(WEEKDAY(B174,2),"lunedì","martedì","mercoledì","giovedì","venerdì","sabato","domenica"))</f>
        <v/>
      </c>
      <c r="D174" s="58" t="str">
        <f aca="false">IF(G174="","",IF(INDEX(Giorni!$I$2:$I$367,G174)="A","Assenza","Giustificata"))</f>
        <v/>
      </c>
      <c r="E174" s="58" t="str">
        <f aca="false">IF(G174="","",IF(INDEX(Giorni!$F$2:$F$367,G174)=1,"Sì","No"))</f>
        <v/>
      </c>
      <c r="F174" s="58" t="str">
        <f aca="false">IF(G174="","",IF(E174="Sì",IF(D174="Giustificata","Conta come presenza",""),IF(INDEX(Giorni!$D$2:$D$367,G174)=1,"Festività: non conta",IF(INDEX(Giorni!$E$2:$E$367,G174)=1,"Chiusura: non conta","Fuori periodo: non conta"))))</f>
        <v/>
      </c>
      <c r="G174" s="0" t="str">
        <f aca="false">IFERROR(MATCH(170,Giorni!$N$2:$N$367,0),"")</f>
        <v/>
      </c>
    </row>
    <row r="175" customFormat="false" ht="15" hidden="false" customHeight="false" outlineLevel="0" collapsed="false">
      <c r="A175" s="56" t="str">
        <f aca="false">IF(G175="","",171)</f>
        <v/>
      </c>
      <c r="B175" s="57" t="str">
        <f aca="false">IF(G175="","",INDEX(Giorni!$A$2:$A$367,G175))</f>
        <v/>
      </c>
      <c r="C175" s="56" t="str">
        <f aca="false">IF(G175="","",CHOOSE(WEEKDAY(B175,2),"lunedì","martedì","mercoledì","giovedì","venerdì","sabato","domenica"))</f>
        <v/>
      </c>
      <c r="D175" s="56" t="str">
        <f aca="false">IF(G175="","",IF(INDEX(Giorni!$I$2:$I$367,G175)="A","Assenza","Giustificata"))</f>
        <v/>
      </c>
      <c r="E175" s="56" t="str">
        <f aca="false">IF(G175="","",IF(INDEX(Giorni!$F$2:$F$367,G175)=1,"Sì","No"))</f>
        <v/>
      </c>
      <c r="F175" s="56" t="str">
        <f aca="false">IF(G175="","",IF(E175="Sì",IF(D175="Giustificata","Conta come presenza",""),IF(INDEX(Giorni!$D$2:$D$367,G175)=1,"Festività: non conta",IF(INDEX(Giorni!$E$2:$E$367,G175)=1,"Chiusura: non conta","Fuori periodo: non conta"))))</f>
        <v/>
      </c>
      <c r="G175" s="0" t="str">
        <f aca="false">IFERROR(MATCH(171,Giorni!$N$2:$N$367,0),"")</f>
        <v/>
      </c>
    </row>
    <row r="176" customFormat="false" ht="15" hidden="false" customHeight="false" outlineLevel="0" collapsed="false">
      <c r="A176" s="58" t="str">
        <f aca="false">IF(G176="","",172)</f>
        <v/>
      </c>
      <c r="B176" s="59" t="str">
        <f aca="false">IF(G176="","",INDEX(Giorni!$A$2:$A$367,G176))</f>
        <v/>
      </c>
      <c r="C176" s="58" t="str">
        <f aca="false">IF(G176="","",CHOOSE(WEEKDAY(B176,2),"lunedì","martedì","mercoledì","giovedì","venerdì","sabato","domenica"))</f>
        <v/>
      </c>
      <c r="D176" s="58" t="str">
        <f aca="false">IF(G176="","",IF(INDEX(Giorni!$I$2:$I$367,G176)="A","Assenza","Giustificata"))</f>
        <v/>
      </c>
      <c r="E176" s="58" t="str">
        <f aca="false">IF(G176="","",IF(INDEX(Giorni!$F$2:$F$367,G176)=1,"Sì","No"))</f>
        <v/>
      </c>
      <c r="F176" s="58" t="str">
        <f aca="false">IF(G176="","",IF(E176="Sì",IF(D176="Giustificata","Conta come presenza",""),IF(INDEX(Giorni!$D$2:$D$367,G176)=1,"Festività: non conta",IF(INDEX(Giorni!$E$2:$E$367,G176)=1,"Chiusura: non conta","Fuori periodo: non conta"))))</f>
        <v/>
      </c>
      <c r="G176" s="0" t="str">
        <f aca="false">IFERROR(MATCH(172,Giorni!$N$2:$N$367,0),"")</f>
        <v/>
      </c>
    </row>
    <row r="177" customFormat="false" ht="15" hidden="false" customHeight="false" outlineLevel="0" collapsed="false">
      <c r="A177" s="56" t="str">
        <f aca="false">IF(G177="","",173)</f>
        <v/>
      </c>
      <c r="B177" s="57" t="str">
        <f aca="false">IF(G177="","",INDEX(Giorni!$A$2:$A$367,G177))</f>
        <v/>
      </c>
      <c r="C177" s="56" t="str">
        <f aca="false">IF(G177="","",CHOOSE(WEEKDAY(B177,2),"lunedì","martedì","mercoledì","giovedì","venerdì","sabato","domenica"))</f>
        <v/>
      </c>
      <c r="D177" s="56" t="str">
        <f aca="false">IF(G177="","",IF(INDEX(Giorni!$I$2:$I$367,G177)="A","Assenza","Giustificata"))</f>
        <v/>
      </c>
      <c r="E177" s="56" t="str">
        <f aca="false">IF(G177="","",IF(INDEX(Giorni!$F$2:$F$367,G177)=1,"Sì","No"))</f>
        <v/>
      </c>
      <c r="F177" s="56" t="str">
        <f aca="false">IF(G177="","",IF(E177="Sì",IF(D177="Giustificata","Conta come presenza",""),IF(INDEX(Giorni!$D$2:$D$367,G177)=1,"Festività: non conta",IF(INDEX(Giorni!$E$2:$E$367,G177)=1,"Chiusura: non conta","Fuori periodo: non conta"))))</f>
        <v/>
      </c>
      <c r="G177" s="0" t="str">
        <f aca="false">IFERROR(MATCH(173,Giorni!$N$2:$N$367,0),"")</f>
        <v/>
      </c>
    </row>
    <row r="178" customFormat="false" ht="15" hidden="false" customHeight="false" outlineLevel="0" collapsed="false">
      <c r="A178" s="58" t="str">
        <f aca="false">IF(G178="","",174)</f>
        <v/>
      </c>
      <c r="B178" s="59" t="str">
        <f aca="false">IF(G178="","",INDEX(Giorni!$A$2:$A$367,G178))</f>
        <v/>
      </c>
      <c r="C178" s="58" t="str">
        <f aca="false">IF(G178="","",CHOOSE(WEEKDAY(B178,2),"lunedì","martedì","mercoledì","giovedì","venerdì","sabato","domenica"))</f>
        <v/>
      </c>
      <c r="D178" s="58" t="str">
        <f aca="false">IF(G178="","",IF(INDEX(Giorni!$I$2:$I$367,G178)="A","Assenza","Giustificata"))</f>
        <v/>
      </c>
      <c r="E178" s="58" t="str">
        <f aca="false">IF(G178="","",IF(INDEX(Giorni!$F$2:$F$367,G178)=1,"Sì","No"))</f>
        <v/>
      </c>
      <c r="F178" s="58" t="str">
        <f aca="false">IF(G178="","",IF(E178="Sì",IF(D178="Giustificata","Conta come presenza",""),IF(INDEX(Giorni!$D$2:$D$367,G178)=1,"Festività: non conta",IF(INDEX(Giorni!$E$2:$E$367,G178)=1,"Chiusura: non conta","Fuori periodo: non conta"))))</f>
        <v/>
      </c>
      <c r="G178" s="0" t="str">
        <f aca="false">IFERROR(MATCH(174,Giorni!$N$2:$N$367,0),"")</f>
        <v/>
      </c>
    </row>
    <row r="179" customFormat="false" ht="15" hidden="false" customHeight="false" outlineLevel="0" collapsed="false">
      <c r="A179" s="56" t="str">
        <f aca="false">IF(G179="","",175)</f>
        <v/>
      </c>
      <c r="B179" s="57" t="str">
        <f aca="false">IF(G179="","",INDEX(Giorni!$A$2:$A$367,G179))</f>
        <v/>
      </c>
      <c r="C179" s="56" t="str">
        <f aca="false">IF(G179="","",CHOOSE(WEEKDAY(B179,2),"lunedì","martedì","mercoledì","giovedì","venerdì","sabato","domenica"))</f>
        <v/>
      </c>
      <c r="D179" s="56" t="str">
        <f aca="false">IF(G179="","",IF(INDEX(Giorni!$I$2:$I$367,G179)="A","Assenza","Giustificata"))</f>
        <v/>
      </c>
      <c r="E179" s="56" t="str">
        <f aca="false">IF(G179="","",IF(INDEX(Giorni!$F$2:$F$367,G179)=1,"Sì","No"))</f>
        <v/>
      </c>
      <c r="F179" s="56" t="str">
        <f aca="false">IF(G179="","",IF(E179="Sì",IF(D179="Giustificata","Conta come presenza",""),IF(INDEX(Giorni!$D$2:$D$367,G179)=1,"Festività: non conta",IF(INDEX(Giorni!$E$2:$E$367,G179)=1,"Chiusura: non conta","Fuori periodo: non conta"))))</f>
        <v/>
      </c>
      <c r="G179" s="0" t="str">
        <f aca="false">IFERROR(MATCH(175,Giorni!$N$2:$N$367,0),"")</f>
        <v/>
      </c>
    </row>
    <row r="180" customFormat="false" ht="15" hidden="false" customHeight="false" outlineLevel="0" collapsed="false">
      <c r="A180" s="58" t="str">
        <f aca="false">IF(G180="","",176)</f>
        <v/>
      </c>
      <c r="B180" s="59" t="str">
        <f aca="false">IF(G180="","",INDEX(Giorni!$A$2:$A$367,G180))</f>
        <v/>
      </c>
      <c r="C180" s="58" t="str">
        <f aca="false">IF(G180="","",CHOOSE(WEEKDAY(B180,2),"lunedì","martedì","mercoledì","giovedì","venerdì","sabato","domenica"))</f>
        <v/>
      </c>
      <c r="D180" s="58" t="str">
        <f aca="false">IF(G180="","",IF(INDEX(Giorni!$I$2:$I$367,G180)="A","Assenza","Giustificata"))</f>
        <v/>
      </c>
      <c r="E180" s="58" t="str">
        <f aca="false">IF(G180="","",IF(INDEX(Giorni!$F$2:$F$367,G180)=1,"Sì","No"))</f>
        <v/>
      </c>
      <c r="F180" s="58" t="str">
        <f aca="false">IF(G180="","",IF(E180="Sì",IF(D180="Giustificata","Conta come presenza",""),IF(INDEX(Giorni!$D$2:$D$367,G180)=1,"Festività: non conta",IF(INDEX(Giorni!$E$2:$E$367,G180)=1,"Chiusura: non conta","Fuori periodo: non conta"))))</f>
        <v/>
      </c>
      <c r="G180" s="0" t="str">
        <f aca="false">IFERROR(MATCH(176,Giorni!$N$2:$N$367,0),"")</f>
        <v/>
      </c>
    </row>
    <row r="181" customFormat="false" ht="15" hidden="false" customHeight="false" outlineLevel="0" collapsed="false">
      <c r="A181" s="56" t="str">
        <f aca="false">IF(G181="","",177)</f>
        <v/>
      </c>
      <c r="B181" s="57" t="str">
        <f aca="false">IF(G181="","",INDEX(Giorni!$A$2:$A$367,G181))</f>
        <v/>
      </c>
      <c r="C181" s="56" t="str">
        <f aca="false">IF(G181="","",CHOOSE(WEEKDAY(B181,2),"lunedì","martedì","mercoledì","giovedì","venerdì","sabato","domenica"))</f>
        <v/>
      </c>
      <c r="D181" s="56" t="str">
        <f aca="false">IF(G181="","",IF(INDEX(Giorni!$I$2:$I$367,G181)="A","Assenza","Giustificata"))</f>
        <v/>
      </c>
      <c r="E181" s="56" t="str">
        <f aca="false">IF(G181="","",IF(INDEX(Giorni!$F$2:$F$367,G181)=1,"Sì","No"))</f>
        <v/>
      </c>
      <c r="F181" s="56" t="str">
        <f aca="false">IF(G181="","",IF(E181="Sì",IF(D181="Giustificata","Conta come presenza",""),IF(INDEX(Giorni!$D$2:$D$367,G181)=1,"Festività: non conta",IF(INDEX(Giorni!$E$2:$E$367,G181)=1,"Chiusura: non conta","Fuori periodo: non conta"))))</f>
        <v/>
      </c>
      <c r="G181" s="0" t="str">
        <f aca="false">IFERROR(MATCH(177,Giorni!$N$2:$N$367,0),"")</f>
        <v/>
      </c>
    </row>
    <row r="182" customFormat="false" ht="15" hidden="false" customHeight="false" outlineLevel="0" collapsed="false">
      <c r="A182" s="58" t="str">
        <f aca="false">IF(G182="","",178)</f>
        <v/>
      </c>
      <c r="B182" s="59" t="str">
        <f aca="false">IF(G182="","",INDEX(Giorni!$A$2:$A$367,G182))</f>
        <v/>
      </c>
      <c r="C182" s="58" t="str">
        <f aca="false">IF(G182="","",CHOOSE(WEEKDAY(B182,2),"lunedì","martedì","mercoledì","giovedì","venerdì","sabato","domenica"))</f>
        <v/>
      </c>
      <c r="D182" s="58" t="str">
        <f aca="false">IF(G182="","",IF(INDEX(Giorni!$I$2:$I$367,G182)="A","Assenza","Giustificata"))</f>
        <v/>
      </c>
      <c r="E182" s="58" t="str">
        <f aca="false">IF(G182="","",IF(INDEX(Giorni!$F$2:$F$367,G182)=1,"Sì","No"))</f>
        <v/>
      </c>
      <c r="F182" s="58" t="str">
        <f aca="false">IF(G182="","",IF(E182="Sì",IF(D182="Giustificata","Conta come presenza",""),IF(INDEX(Giorni!$D$2:$D$367,G182)=1,"Festività: non conta",IF(INDEX(Giorni!$E$2:$E$367,G182)=1,"Chiusura: non conta","Fuori periodo: non conta"))))</f>
        <v/>
      </c>
      <c r="G182" s="0" t="str">
        <f aca="false">IFERROR(MATCH(178,Giorni!$N$2:$N$367,0),"")</f>
        <v/>
      </c>
    </row>
    <row r="183" customFormat="false" ht="15" hidden="false" customHeight="false" outlineLevel="0" collapsed="false">
      <c r="A183" s="56" t="str">
        <f aca="false">IF(G183="","",179)</f>
        <v/>
      </c>
      <c r="B183" s="57" t="str">
        <f aca="false">IF(G183="","",INDEX(Giorni!$A$2:$A$367,G183))</f>
        <v/>
      </c>
      <c r="C183" s="56" t="str">
        <f aca="false">IF(G183="","",CHOOSE(WEEKDAY(B183,2),"lunedì","martedì","mercoledì","giovedì","venerdì","sabato","domenica"))</f>
        <v/>
      </c>
      <c r="D183" s="56" t="str">
        <f aca="false">IF(G183="","",IF(INDEX(Giorni!$I$2:$I$367,G183)="A","Assenza","Giustificata"))</f>
        <v/>
      </c>
      <c r="E183" s="56" t="str">
        <f aca="false">IF(G183="","",IF(INDEX(Giorni!$F$2:$F$367,G183)=1,"Sì","No"))</f>
        <v/>
      </c>
      <c r="F183" s="56" t="str">
        <f aca="false">IF(G183="","",IF(E183="Sì",IF(D183="Giustificata","Conta come presenza",""),IF(INDEX(Giorni!$D$2:$D$367,G183)=1,"Festività: non conta",IF(INDEX(Giorni!$E$2:$E$367,G183)=1,"Chiusura: non conta","Fuori periodo: non conta"))))</f>
        <v/>
      </c>
      <c r="G183" s="0" t="str">
        <f aca="false">IFERROR(MATCH(179,Giorni!$N$2:$N$367,0),"")</f>
        <v/>
      </c>
    </row>
    <row r="184" customFormat="false" ht="15" hidden="false" customHeight="false" outlineLevel="0" collapsed="false">
      <c r="A184" s="58" t="str">
        <f aca="false">IF(G184="","",180)</f>
        <v/>
      </c>
      <c r="B184" s="59" t="str">
        <f aca="false">IF(G184="","",INDEX(Giorni!$A$2:$A$367,G184))</f>
        <v/>
      </c>
      <c r="C184" s="58" t="str">
        <f aca="false">IF(G184="","",CHOOSE(WEEKDAY(B184,2),"lunedì","martedì","mercoledì","giovedì","venerdì","sabato","domenica"))</f>
        <v/>
      </c>
      <c r="D184" s="58" t="str">
        <f aca="false">IF(G184="","",IF(INDEX(Giorni!$I$2:$I$367,G184)="A","Assenza","Giustificata"))</f>
        <v/>
      </c>
      <c r="E184" s="58" t="str">
        <f aca="false">IF(G184="","",IF(INDEX(Giorni!$F$2:$F$367,G184)=1,"Sì","No"))</f>
        <v/>
      </c>
      <c r="F184" s="58" t="str">
        <f aca="false">IF(G184="","",IF(E184="Sì",IF(D184="Giustificata","Conta come presenza",""),IF(INDEX(Giorni!$D$2:$D$367,G184)=1,"Festività: non conta",IF(INDEX(Giorni!$E$2:$E$367,G184)=1,"Chiusura: non conta","Fuori periodo: non conta"))))</f>
        <v/>
      </c>
      <c r="G184" s="0" t="str">
        <f aca="false">IFERROR(MATCH(180,Giorni!$N$2:$N$367,0),"")</f>
        <v/>
      </c>
    </row>
    <row r="185" customFormat="false" ht="15" hidden="false" customHeight="false" outlineLevel="0" collapsed="false">
      <c r="A185" s="56" t="str">
        <f aca="false">IF(G185="","",181)</f>
        <v/>
      </c>
      <c r="B185" s="57" t="str">
        <f aca="false">IF(G185="","",INDEX(Giorni!$A$2:$A$367,G185))</f>
        <v/>
      </c>
      <c r="C185" s="56" t="str">
        <f aca="false">IF(G185="","",CHOOSE(WEEKDAY(B185,2),"lunedì","martedì","mercoledì","giovedì","venerdì","sabato","domenica"))</f>
        <v/>
      </c>
      <c r="D185" s="56" t="str">
        <f aca="false">IF(G185="","",IF(INDEX(Giorni!$I$2:$I$367,G185)="A","Assenza","Giustificata"))</f>
        <v/>
      </c>
      <c r="E185" s="56" t="str">
        <f aca="false">IF(G185="","",IF(INDEX(Giorni!$F$2:$F$367,G185)=1,"Sì","No"))</f>
        <v/>
      </c>
      <c r="F185" s="56" t="str">
        <f aca="false">IF(G185="","",IF(E185="Sì",IF(D185="Giustificata","Conta come presenza",""),IF(INDEX(Giorni!$D$2:$D$367,G185)=1,"Festività: non conta",IF(INDEX(Giorni!$E$2:$E$367,G185)=1,"Chiusura: non conta","Fuori periodo: non conta"))))</f>
        <v/>
      </c>
      <c r="G185" s="0" t="str">
        <f aca="false">IFERROR(MATCH(181,Giorni!$N$2:$N$367,0),"")</f>
        <v/>
      </c>
    </row>
    <row r="186" customFormat="false" ht="15" hidden="false" customHeight="false" outlineLevel="0" collapsed="false">
      <c r="A186" s="58" t="str">
        <f aca="false">IF(G186="","",182)</f>
        <v/>
      </c>
      <c r="B186" s="59" t="str">
        <f aca="false">IF(G186="","",INDEX(Giorni!$A$2:$A$367,G186))</f>
        <v/>
      </c>
      <c r="C186" s="58" t="str">
        <f aca="false">IF(G186="","",CHOOSE(WEEKDAY(B186,2),"lunedì","martedì","mercoledì","giovedì","venerdì","sabato","domenica"))</f>
        <v/>
      </c>
      <c r="D186" s="58" t="str">
        <f aca="false">IF(G186="","",IF(INDEX(Giorni!$I$2:$I$367,G186)="A","Assenza","Giustificata"))</f>
        <v/>
      </c>
      <c r="E186" s="58" t="str">
        <f aca="false">IF(G186="","",IF(INDEX(Giorni!$F$2:$F$367,G186)=1,"Sì","No"))</f>
        <v/>
      </c>
      <c r="F186" s="58" t="str">
        <f aca="false">IF(G186="","",IF(E186="Sì",IF(D186="Giustificata","Conta come presenza",""),IF(INDEX(Giorni!$D$2:$D$367,G186)=1,"Festività: non conta",IF(INDEX(Giorni!$E$2:$E$367,G186)=1,"Chiusura: non conta","Fuori periodo: non conta"))))</f>
        <v/>
      </c>
      <c r="G186" s="0" t="str">
        <f aca="false">IFERROR(MATCH(182,Giorni!$N$2:$N$367,0),"")</f>
        <v/>
      </c>
    </row>
    <row r="187" customFormat="false" ht="15" hidden="false" customHeight="false" outlineLevel="0" collapsed="false">
      <c r="A187" s="56" t="str">
        <f aca="false">IF(G187="","",183)</f>
        <v/>
      </c>
      <c r="B187" s="57" t="str">
        <f aca="false">IF(G187="","",INDEX(Giorni!$A$2:$A$367,G187))</f>
        <v/>
      </c>
      <c r="C187" s="56" t="str">
        <f aca="false">IF(G187="","",CHOOSE(WEEKDAY(B187,2),"lunedì","martedì","mercoledì","giovedì","venerdì","sabato","domenica"))</f>
        <v/>
      </c>
      <c r="D187" s="56" t="str">
        <f aca="false">IF(G187="","",IF(INDEX(Giorni!$I$2:$I$367,G187)="A","Assenza","Giustificata"))</f>
        <v/>
      </c>
      <c r="E187" s="56" t="str">
        <f aca="false">IF(G187="","",IF(INDEX(Giorni!$F$2:$F$367,G187)=1,"Sì","No"))</f>
        <v/>
      </c>
      <c r="F187" s="56" t="str">
        <f aca="false">IF(G187="","",IF(E187="Sì",IF(D187="Giustificata","Conta come presenza",""),IF(INDEX(Giorni!$D$2:$D$367,G187)=1,"Festività: non conta",IF(INDEX(Giorni!$E$2:$E$367,G187)=1,"Chiusura: non conta","Fuori periodo: non conta"))))</f>
        <v/>
      </c>
      <c r="G187" s="0" t="str">
        <f aca="false">IFERROR(MATCH(183,Giorni!$N$2:$N$367,0),"")</f>
        <v/>
      </c>
    </row>
    <row r="188" customFormat="false" ht="15" hidden="false" customHeight="false" outlineLevel="0" collapsed="false">
      <c r="A188" s="58" t="str">
        <f aca="false">IF(G188="","",184)</f>
        <v/>
      </c>
      <c r="B188" s="59" t="str">
        <f aca="false">IF(G188="","",INDEX(Giorni!$A$2:$A$367,G188))</f>
        <v/>
      </c>
      <c r="C188" s="58" t="str">
        <f aca="false">IF(G188="","",CHOOSE(WEEKDAY(B188,2),"lunedì","martedì","mercoledì","giovedì","venerdì","sabato","domenica"))</f>
        <v/>
      </c>
      <c r="D188" s="58" t="str">
        <f aca="false">IF(G188="","",IF(INDEX(Giorni!$I$2:$I$367,G188)="A","Assenza","Giustificata"))</f>
        <v/>
      </c>
      <c r="E188" s="58" t="str">
        <f aca="false">IF(G188="","",IF(INDEX(Giorni!$F$2:$F$367,G188)=1,"Sì","No"))</f>
        <v/>
      </c>
      <c r="F188" s="58" t="str">
        <f aca="false">IF(G188="","",IF(E188="Sì",IF(D188="Giustificata","Conta come presenza",""),IF(INDEX(Giorni!$D$2:$D$367,G188)=1,"Festività: non conta",IF(INDEX(Giorni!$E$2:$E$367,G188)=1,"Chiusura: non conta","Fuori periodo: non conta"))))</f>
        <v/>
      </c>
      <c r="G188" s="0" t="str">
        <f aca="false">IFERROR(MATCH(184,Giorni!$N$2:$N$367,0),"")</f>
        <v/>
      </c>
    </row>
    <row r="189" customFormat="false" ht="15" hidden="false" customHeight="false" outlineLevel="0" collapsed="false">
      <c r="A189" s="56" t="str">
        <f aca="false">IF(G189="","",185)</f>
        <v/>
      </c>
      <c r="B189" s="57" t="str">
        <f aca="false">IF(G189="","",INDEX(Giorni!$A$2:$A$367,G189))</f>
        <v/>
      </c>
      <c r="C189" s="56" t="str">
        <f aca="false">IF(G189="","",CHOOSE(WEEKDAY(B189,2),"lunedì","martedì","mercoledì","giovedì","venerdì","sabato","domenica"))</f>
        <v/>
      </c>
      <c r="D189" s="56" t="str">
        <f aca="false">IF(G189="","",IF(INDEX(Giorni!$I$2:$I$367,G189)="A","Assenza","Giustificata"))</f>
        <v/>
      </c>
      <c r="E189" s="56" t="str">
        <f aca="false">IF(G189="","",IF(INDEX(Giorni!$F$2:$F$367,G189)=1,"Sì","No"))</f>
        <v/>
      </c>
      <c r="F189" s="56" t="str">
        <f aca="false">IF(G189="","",IF(E189="Sì",IF(D189="Giustificata","Conta come presenza",""),IF(INDEX(Giorni!$D$2:$D$367,G189)=1,"Festività: non conta",IF(INDEX(Giorni!$E$2:$E$367,G189)=1,"Chiusura: non conta","Fuori periodo: non conta"))))</f>
        <v/>
      </c>
      <c r="G189" s="0" t="str">
        <f aca="false">IFERROR(MATCH(185,Giorni!$N$2:$N$367,0),"")</f>
        <v/>
      </c>
    </row>
    <row r="190" customFormat="false" ht="15" hidden="false" customHeight="false" outlineLevel="0" collapsed="false">
      <c r="A190" s="58" t="str">
        <f aca="false">IF(G190="","",186)</f>
        <v/>
      </c>
      <c r="B190" s="59" t="str">
        <f aca="false">IF(G190="","",INDEX(Giorni!$A$2:$A$367,G190))</f>
        <v/>
      </c>
      <c r="C190" s="58" t="str">
        <f aca="false">IF(G190="","",CHOOSE(WEEKDAY(B190,2),"lunedì","martedì","mercoledì","giovedì","venerdì","sabato","domenica"))</f>
        <v/>
      </c>
      <c r="D190" s="58" t="str">
        <f aca="false">IF(G190="","",IF(INDEX(Giorni!$I$2:$I$367,G190)="A","Assenza","Giustificata"))</f>
        <v/>
      </c>
      <c r="E190" s="58" t="str">
        <f aca="false">IF(G190="","",IF(INDEX(Giorni!$F$2:$F$367,G190)=1,"Sì","No"))</f>
        <v/>
      </c>
      <c r="F190" s="58" t="str">
        <f aca="false">IF(G190="","",IF(E190="Sì",IF(D190="Giustificata","Conta come presenza",""),IF(INDEX(Giorni!$D$2:$D$367,G190)=1,"Festività: non conta",IF(INDEX(Giorni!$E$2:$E$367,G190)=1,"Chiusura: non conta","Fuori periodo: non conta"))))</f>
        <v/>
      </c>
      <c r="G190" s="0" t="str">
        <f aca="false">IFERROR(MATCH(186,Giorni!$N$2:$N$367,0),"")</f>
        <v/>
      </c>
    </row>
    <row r="191" customFormat="false" ht="15" hidden="false" customHeight="false" outlineLevel="0" collapsed="false">
      <c r="A191" s="56" t="str">
        <f aca="false">IF(G191="","",187)</f>
        <v/>
      </c>
      <c r="B191" s="57" t="str">
        <f aca="false">IF(G191="","",INDEX(Giorni!$A$2:$A$367,G191))</f>
        <v/>
      </c>
      <c r="C191" s="56" t="str">
        <f aca="false">IF(G191="","",CHOOSE(WEEKDAY(B191,2),"lunedì","martedì","mercoledì","giovedì","venerdì","sabato","domenica"))</f>
        <v/>
      </c>
      <c r="D191" s="56" t="str">
        <f aca="false">IF(G191="","",IF(INDEX(Giorni!$I$2:$I$367,G191)="A","Assenza","Giustificata"))</f>
        <v/>
      </c>
      <c r="E191" s="56" t="str">
        <f aca="false">IF(G191="","",IF(INDEX(Giorni!$F$2:$F$367,G191)=1,"Sì","No"))</f>
        <v/>
      </c>
      <c r="F191" s="56" t="str">
        <f aca="false">IF(G191="","",IF(E191="Sì",IF(D191="Giustificata","Conta come presenza",""),IF(INDEX(Giorni!$D$2:$D$367,G191)=1,"Festività: non conta",IF(INDEX(Giorni!$E$2:$E$367,G191)=1,"Chiusura: non conta","Fuori periodo: non conta"))))</f>
        <v/>
      </c>
      <c r="G191" s="0" t="str">
        <f aca="false">IFERROR(MATCH(187,Giorni!$N$2:$N$367,0),"")</f>
        <v/>
      </c>
    </row>
    <row r="192" customFormat="false" ht="15" hidden="false" customHeight="false" outlineLevel="0" collapsed="false">
      <c r="A192" s="58" t="str">
        <f aca="false">IF(G192="","",188)</f>
        <v/>
      </c>
      <c r="B192" s="59" t="str">
        <f aca="false">IF(G192="","",INDEX(Giorni!$A$2:$A$367,G192))</f>
        <v/>
      </c>
      <c r="C192" s="58" t="str">
        <f aca="false">IF(G192="","",CHOOSE(WEEKDAY(B192,2),"lunedì","martedì","mercoledì","giovedì","venerdì","sabato","domenica"))</f>
        <v/>
      </c>
      <c r="D192" s="58" t="str">
        <f aca="false">IF(G192="","",IF(INDEX(Giorni!$I$2:$I$367,G192)="A","Assenza","Giustificata"))</f>
        <v/>
      </c>
      <c r="E192" s="58" t="str">
        <f aca="false">IF(G192="","",IF(INDEX(Giorni!$F$2:$F$367,G192)=1,"Sì","No"))</f>
        <v/>
      </c>
      <c r="F192" s="58" t="str">
        <f aca="false">IF(G192="","",IF(E192="Sì",IF(D192="Giustificata","Conta come presenza",""),IF(INDEX(Giorni!$D$2:$D$367,G192)=1,"Festività: non conta",IF(INDEX(Giorni!$E$2:$E$367,G192)=1,"Chiusura: non conta","Fuori periodo: non conta"))))</f>
        <v/>
      </c>
      <c r="G192" s="0" t="str">
        <f aca="false">IFERROR(MATCH(188,Giorni!$N$2:$N$367,0),"")</f>
        <v/>
      </c>
    </row>
    <row r="193" customFormat="false" ht="15" hidden="false" customHeight="false" outlineLevel="0" collapsed="false">
      <c r="A193" s="56" t="str">
        <f aca="false">IF(G193="","",189)</f>
        <v/>
      </c>
      <c r="B193" s="57" t="str">
        <f aca="false">IF(G193="","",INDEX(Giorni!$A$2:$A$367,G193))</f>
        <v/>
      </c>
      <c r="C193" s="56" t="str">
        <f aca="false">IF(G193="","",CHOOSE(WEEKDAY(B193,2),"lunedì","martedì","mercoledì","giovedì","venerdì","sabato","domenica"))</f>
        <v/>
      </c>
      <c r="D193" s="56" t="str">
        <f aca="false">IF(G193="","",IF(INDEX(Giorni!$I$2:$I$367,G193)="A","Assenza","Giustificata"))</f>
        <v/>
      </c>
      <c r="E193" s="56" t="str">
        <f aca="false">IF(G193="","",IF(INDEX(Giorni!$F$2:$F$367,G193)=1,"Sì","No"))</f>
        <v/>
      </c>
      <c r="F193" s="56" t="str">
        <f aca="false">IF(G193="","",IF(E193="Sì",IF(D193="Giustificata","Conta come presenza",""),IF(INDEX(Giorni!$D$2:$D$367,G193)=1,"Festività: non conta",IF(INDEX(Giorni!$E$2:$E$367,G193)=1,"Chiusura: non conta","Fuori periodo: non conta"))))</f>
        <v/>
      </c>
      <c r="G193" s="0" t="str">
        <f aca="false">IFERROR(MATCH(189,Giorni!$N$2:$N$367,0),"")</f>
        <v/>
      </c>
    </row>
    <row r="194" customFormat="false" ht="15" hidden="false" customHeight="false" outlineLevel="0" collapsed="false">
      <c r="A194" s="58" t="str">
        <f aca="false">IF(G194="","",190)</f>
        <v/>
      </c>
      <c r="B194" s="59" t="str">
        <f aca="false">IF(G194="","",INDEX(Giorni!$A$2:$A$367,G194))</f>
        <v/>
      </c>
      <c r="C194" s="58" t="str">
        <f aca="false">IF(G194="","",CHOOSE(WEEKDAY(B194,2),"lunedì","martedì","mercoledì","giovedì","venerdì","sabato","domenica"))</f>
        <v/>
      </c>
      <c r="D194" s="58" t="str">
        <f aca="false">IF(G194="","",IF(INDEX(Giorni!$I$2:$I$367,G194)="A","Assenza","Giustificata"))</f>
        <v/>
      </c>
      <c r="E194" s="58" t="str">
        <f aca="false">IF(G194="","",IF(INDEX(Giorni!$F$2:$F$367,G194)=1,"Sì","No"))</f>
        <v/>
      </c>
      <c r="F194" s="58" t="str">
        <f aca="false">IF(G194="","",IF(E194="Sì",IF(D194="Giustificata","Conta come presenza",""),IF(INDEX(Giorni!$D$2:$D$367,G194)=1,"Festività: non conta",IF(INDEX(Giorni!$E$2:$E$367,G194)=1,"Chiusura: non conta","Fuori periodo: non conta"))))</f>
        <v/>
      </c>
      <c r="G194" s="0" t="str">
        <f aca="false">IFERROR(MATCH(190,Giorni!$N$2:$N$367,0),"")</f>
        <v/>
      </c>
    </row>
    <row r="195" customFormat="false" ht="15" hidden="false" customHeight="false" outlineLevel="0" collapsed="false">
      <c r="A195" s="56" t="str">
        <f aca="false">IF(G195="","",191)</f>
        <v/>
      </c>
      <c r="B195" s="57" t="str">
        <f aca="false">IF(G195="","",INDEX(Giorni!$A$2:$A$367,G195))</f>
        <v/>
      </c>
      <c r="C195" s="56" t="str">
        <f aca="false">IF(G195="","",CHOOSE(WEEKDAY(B195,2),"lunedì","martedì","mercoledì","giovedì","venerdì","sabato","domenica"))</f>
        <v/>
      </c>
      <c r="D195" s="56" t="str">
        <f aca="false">IF(G195="","",IF(INDEX(Giorni!$I$2:$I$367,G195)="A","Assenza","Giustificata"))</f>
        <v/>
      </c>
      <c r="E195" s="56" t="str">
        <f aca="false">IF(G195="","",IF(INDEX(Giorni!$F$2:$F$367,G195)=1,"Sì","No"))</f>
        <v/>
      </c>
      <c r="F195" s="56" t="str">
        <f aca="false">IF(G195="","",IF(E195="Sì",IF(D195="Giustificata","Conta come presenza",""),IF(INDEX(Giorni!$D$2:$D$367,G195)=1,"Festività: non conta",IF(INDEX(Giorni!$E$2:$E$367,G195)=1,"Chiusura: non conta","Fuori periodo: non conta"))))</f>
        <v/>
      </c>
      <c r="G195" s="0" t="str">
        <f aca="false">IFERROR(MATCH(191,Giorni!$N$2:$N$367,0),"")</f>
        <v/>
      </c>
    </row>
    <row r="196" customFormat="false" ht="15" hidden="false" customHeight="false" outlineLevel="0" collapsed="false">
      <c r="A196" s="58" t="str">
        <f aca="false">IF(G196="","",192)</f>
        <v/>
      </c>
      <c r="B196" s="59" t="str">
        <f aca="false">IF(G196="","",INDEX(Giorni!$A$2:$A$367,G196))</f>
        <v/>
      </c>
      <c r="C196" s="58" t="str">
        <f aca="false">IF(G196="","",CHOOSE(WEEKDAY(B196,2),"lunedì","martedì","mercoledì","giovedì","venerdì","sabato","domenica"))</f>
        <v/>
      </c>
      <c r="D196" s="58" t="str">
        <f aca="false">IF(G196="","",IF(INDEX(Giorni!$I$2:$I$367,G196)="A","Assenza","Giustificata"))</f>
        <v/>
      </c>
      <c r="E196" s="58" t="str">
        <f aca="false">IF(G196="","",IF(INDEX(Giorni!$F$2:$F$367,G196)=1,"Sì","No"))</f>
        <v/>
      </c>
      <c r="F196" s="58" t="str">
        <f aca="false">IF(G196="","",IF(E196="Sì",IF(D196="Giustificata","Conta come presenza",""),IF(INDEX(Giorni!$D$2:$D$367,G196)=1,"Festività: non conta",IF(INDEX(Giorni!$E$2:$E$367,G196)=1,"Chiusura: non conta","Fuori periodo: non conta"))))</f>
        <v/>
      </c>
      <c r="G196" s="0" t="str">
        <f aca="false">IFERROR(MATCH(192,Giorni!$N$2:$N$367,0),"")</f>
        <v/>
      </c>
    </row>
    <row r="197" customFormat="false" ht="15" hidden="false" customHeight="false" outlineLevel="0" collapsed="false">
      <c r="A197" s="56" t="str">
        <f aca="false">IF(G197="","",193)</f>
        <v/>
      </c>
      <c r="B197" s="57" t="str">
        <f aca="false">IF(G197="","",INDEX(Giorni!$A$2:$A$367,G197))</f>
        <v/>
      </c>
      <c r="C197" s="56" t="str">
        <f aca="false">IF(G197="","",CHOOSE(WEEKDAY(B197,2),"lunedì","martedì","mercoledì","giovedì","venerdì","sabato","domenica"))</f>
        <v/>
      </c>
      <c r="D197" s="56" t="str">
        <f aca="false">IF(G197="","",IF(INDEX(Giorni!$I$2:$I$367,G197)="A","Assenza","Giustificata"))</f>
        <v/>
      </c>
      <c r="E197" s="56" t="str">
        <f aca="false">IF(G197="","",IF(INDEX(Giorni!$F$2:$F$367,G197)=1,"Sì","No"))</f>
        <v/>
      </c>
      <c r="F197" s="56" t="str">
        <f aca="false">IF(G197="","",IF(E197="Sì",IF(D197="Giustificata","Conta come presenza",""),IF(INDEX(Giorni!$D$2:$D$367,G197)=1,"Festività: non conta",IF(INDEX(Giorni!$E$2:$E$367,G197)=1,"Chiusura: non conta","Fuori periodo: non conta"))))</f>
        <v/>
      </c>
      <c r="G197" s="0" t="str">
        <f aca="false">IFERROR(MATCH(193,Giorni!$N$2:$N$367,0),"")</f>
        <v/>
      </c>
    </row>
    <row r="198" customFormat="false" ht="15" hidden="false" customHeight="false" outlineLevel="0" collapsed="false">
      <c r="A198" s="58" t="str">
        <f aca="false">IF(G198="","",194)</f>
        <v/>
      </c>
      <c r="B198" s="59" t="str">
        <f aca="false">IF(G198="","",INDEX(Giorni!$A$2:$A$367,G198))</f>
        <v/>
      </c>
      <c r="C198" s="58" t="str">
        <f aca="false">IF(G198="","",CHOOSE(WEEKDAY(B198,2),"lunedì","martedì","mercoledì","giovedì","venerdì","sabato","domenica"))</f>
        <v/>
      </c>
      <c r="D198" s="58" t="str">
        <f aca="false">IF(G198="","",IF(INDEX(Giorni!$I$2:$I$367,G198)="A","Assenza","Giustificata"))</f>
        <v/>
      </c>
      <c r="E198" s="58" t="str">
        <f aca="false">IF(G198="","",IF(INDEX(Giorni!$F$2:$F$367,G198)=1,"Sì","No"))</f>
        <v/>
      </c>
      <c r="F198" s="58" t="str">
        <f aca="false">IF(G198="","",IF(E198="Sì",IF(D198="Giustificata","Conta come presenza",""),IF(INDEX(Giorni!$D$2:$D$367,G198)=1,"Festività: non conta",IF(INDEX(Giorni!$E$2:$E$367,G198)=1,"Chiusura: non conta","Fuori periodo: non conta"))))</f>
        <v/>
      </c>
      <c r="G198" s="0" t="str">
        <f aca="false">IFERROR(MATCH(194,Giorni!$N$2:$N$367,0),"")</f>
        <v/>
      </c>
    </row>
    <row r="199" customFormat="false" ht="15" hidden="false" customHeight="false" outlineLevel="0" collapsed="false">
      <c r="A199" s="56" t="str">
        <f aca="false">IF(G199="","",195)</f>
        <v/>
      </c>
      <c r="B199" s="57" t="str">
        <f aca="false">IF(G199="","",INDEX(Giorni!$A$2:$A$367,G199))</f>
        <v/>
      </c>
      <c r="C199" s="56" t="str">
        <f aca="false">IF(G199="","",CHOOSE(WEEKDAY(B199,2),"lunedì","martedì","mercoledì","giovedì","venerdì","sabato","domenica"))</f>
        <v/>
      </c>
      <c r="D199" s="56" t="str">
        <f aca="false">IF(G199="","",IF(INDEX(Giorni!$I$2:$I$367,G199)="A","Assenza","Giustificata"))</f>
        <v/>
      </c>
      <c r="E199" s="56" t="str">
        <f aca="false">IF(G199="","",IF(INDEX(Giorni!$F$2:$F$367,G199)=1,"Sì","No"))</f>
        <v/>
      </c>
      <c r="F199" s="56" t="str">
        <f aca="false">IF(G199="","",IF(E199="Sì",IF(D199="Giustificata","Conta come presenza",""),IF(INDEX(Giorni!$D$2:$D$367,G199)=1,"Festività: non conta",IF(INDEX(Giorni!$E$2:$E$367,G199)=1,"Chiusura: non conta","Fuori periodo: non conta"))))</f>
        <v/>
      </c>
      <c r="G199" s="0" t="str">
        <f aca="false">IFERROR(MATCH(195,Giorni!$N$2:$N$367,0),"")</f>
        <v/>
      </c>
    </row>
    <row r="200" customFormat="false" ht="15" hidden="false" customHeight="false" outlineLevel="0" collapsed="false">
      <c r="A200" s="58" t="str">
        <f aca="false">IF(G200="","",196)</f>
        <v/>
      </c>
      <c r="B200" s="59" t="str">
        <f aca="false">IF(G200="","",INDEX(Giorni!$A$2:$A$367,G200))</f>
        <v/>
      </c>
      <c r="C200" s="58" t="str">
        <f aca="false">IF(G200="","",CHOOSE(WEEKDAY(B200,2),"lunedì","martedì","mercoledì","giovedì","venerdì","sabato","domenica"))</f>
        <v/>
      </c>
      <c r="D200" s="58" t="str">
        <f aca="false">IF(G200="","",IF(INDEX(Giorni!$I$2:$I$367,G200)="A","Assenza","Giustificata"))</f>
        <v/>
      </c>
      <c r="E200" s="58" t="str">
        <f aca="false">IF(G200="","",IF(INDEX(Giorni!$F$2:$F$367,G200)=1,"Sì","No"))</f>
        <v/>
      </c>
      <c r="F200" s="58" t="str">
        <f aca="false">IF(G200="","",IF(E200="Sì",IF(D200="Giustificata","Conta come presenza",""),IF(INDEX(Giorni!$D$2:$D$367,G200)=1,"Festività: non conta",IF(INDEX(Giorni!$E$2:$E$367,G200)=1,"Chiusura: non conta","Fuori periodo: non conta"))))</f>
        <v/>
      </c>
      <c r="G200" s="0" t="str">
        <f aca="false">IFERROR(MATCH(196,Giorni!$N$2:$N$367,0),"")</f>
        <v/>
      </c>
    </row>
    <row r="201" customFormat="false" ht="15" hidden="false" customHeight="false" outlineLevel="0" collapsed="false">
      <c r="A201" s="56" t="str">
        <f aca="false">IF(G201="","",197)</f>
        <v/>
      </c>
      <c r="B201" s="57" t="str">
        <f aca="false">IF(G201="","",INDEX(Giorni!$A$2:$A$367,G201))</f>
        <v/>
      </c>
      <c r="C201" s="56" t="str">
        <f aca="false">IF(G201="","",CHOOSE(WEEKDAY(B201,2),"lunedì","martedì","mercoledì","giovedì","venerdì","sabato","domenica"))</f>
        <v/>
      </c>
      <c r="D201" s="56" t="str">
        <f aca="false">IF(G201="","",IF(INDEX(Giorni!$I$2:$I$367,G201)="A","Assenza","Giustificata"))</f>
        <v/>
      </c>
      <c r="E201" s="56" t="str">
        <f aca="false">IF(G201="","",IF(INDEX(Giorni!$F$2:$F$367,G201)=1,"Sì","No"))</f>
        <v/>
      </c>
      <c r="F201" s="56" t="str">
        <f aca="false">IF(G201="","",IF(E201="Sì",IF(D201="Giustificata","Conta come presenza",""),IF(INDEX(Giorni!$D$2:$D$367,G201)=1,"Festività: non conta",IF(INDEX(Giorni!$E$2:$E$367,G201)=1,"Chiusura: non conta","Fuori periodo: non conta"))))</f>
        <v/>
      </c>
      <c r="G201" s="0" t="str">
        <f aca="false">IFERROR(MATCH(197,Giorni!$N$2:$N$367,0),"")</f>
        <v/>
      </c>
    </row>
    <row r="202" customFormat="false" ht="15" hidden="false" customHeight="false" outlineLevel="0" collapsed="false">
      <c r="A202" s="58" t="str">
        <f aca="false">IF(G202="","",198)</f>
        <v/>
      </c>
      <c r="B202" s="59" t="str">
        <f aca="false">IF(G202="","",INDEX(Giorni!$A$2:$A$367,G202))</f>
        <v/>
      </c>
      <c r="C202" s="58" t="str">
        <f aca="false">IF(G202="","",CHOOSE(WEEKDAY(B202,2),"lunedì","martedì","mercoledì","giovedì","venerdì","sabato","domenica"))</f>
        <v/>
      </c>
      <c r="D202" s="58" t="str">
        <f aca="false">IF(G202="","",IF(INDEX(Giorni!$I$2:$I$367,G202)="A","Assenza","Giustificata"))</f>
        <v/>
      </c>
      <c r="E202" s="58" t="str">
        <f aca="false">IF(G202="","",IF(INDEX(Giorni!$F$2:$F$367,G202)=1,"Sì","No"))</f>
        <v/>
      </c>
      <c r="F202" s="58" t="str">
        <f aca="false">IF(G202="","",IF(E202="Sì",IF(D202="Giustificata","Conta come presenza",""),IF(INDEX(Giorni!$D$2:$D$367,G202)=1,"Festività: non conta",IF(INDEX(Giorni!$E$2:$E$367,G202)=1,"Chiusura: non conta","Fuori periodo: non conta"))))</f>
        <v/>
      </c>
      <c r="G202" s="0" t="str">
        <f aca="false">IFERROR(MATCH(198,Giorni!$N$2:$N$367,0),"")</f>
        <v/>
      </c>
    </row>
    <row r="203" customFormat="false" ht="15" hidden="false" customHeight="false" outlineLevel="0" collapsed="false">
      <c r="A203" s="56" t="str">
        <f aca="false">IF(G203="","",199)</f>
        <v/>
      </c>
      <c r="B203" s="57" t="str">
        <f aca="false">IF(G203="","",INDEX(Giorni!$A$2:$A$367,G203))</f>
        <v/>
      </c>
      <c r="C203" s="56" t="str">
        <f aca="false">IF(G203="","",CHOOSE(WEEKDAY(B203,2),"lunedì","martedì","mercoledì","giovedì","venerdì","sabato","domenica"))</f>
        <v/>
      </c>
      <c r="D203" s="56" t="str">
        <f aca="false">IF(G203="","",IF(INDEX(Giorni!$I$2:$I$367,G203)="A","Assenza","Giustificata"))</f>
        <v/>
      </c>
      <c r="E203" s="56" t="str">
        <f aca="false">IF(G203="","",IF(INDEX(Giorni!$F$2:$F$367,G203)=1,"Sì","No"))</f>
        <v/>
      </c>
      <c r="F203" s="56" t="str">
        <f aca="false">IF(G203="","",IF(E203="Sì",IF(D203="Giustificata","Conta come presenza",""),IF(INDEX(Giorni!$D$2:$D$367,G203)=1,"Festività: non conta",IF(INDEX(Giorni!$E$2:$E$367,G203)=1,"Chiusura: non conta","Fuori periodo: non conta"))))</f>
        <v/>
      </c>
      <c r="G203" s="0" t="str">
        <f aca="false">IFERROR(MATCH(199,Giorni!$N$2:$N$367,0),"")</f>
        <v/>
      </c>
    </row>
    <row r="204" customFormat="false" ht="15" hidden="false" customHeight="false" outlineLevel="0" collapsed="false">
      <c r="A204" s="58" t="str">
        <f aca="false">IF(G204="","",200)</f>
        <v/>
      </c>
      <c r="B204" s="59" t="str">
        <f aca="false">IF(G204="","",INDEX(Giorni!$A$2:$A$367,G204))</f>
        <v/>
      </c>
      <c r="C204" s="58" t="str">
        <f aca="false">IF(G204="","",CHOOSE(WEEKDAY(B204,2),"lunedì","martedì","mercoledì","giovedì","venerdì","sabato","domenica"))</f>
        <v/>
      </c>
      <c r="D204" s="58" t="str">
        <f aca="false">IF(G204="","",IF(INDEX(Giorni!$I$2:$I$367,G204)="A","Assenza","Giustificata"))</f>
        <v/>
      </c>
      <c r="E204" s="58" t="str">
        <f aca="false">IF(G204="","",IF(INDEX(Giorni!$F$2:$F$367,G204)=1,"Sì","No"))</f>
        <v/>
      </c>
      <c r="F204" s="58" t="str">
        <f aca="false">IF(G204="","",IF(E204="Sì",IF(D204="Giustificata","Conta come presenza",""),IF(INDEX(Giorni!$D$2:$D$367,G204)=1,"Festività: non conta",IF(INDEX(Giorni!$E$2:$E$367,G204)=1,"Chiusura: non conta","Fuori periodo: non conta"))))</f>
        <v/>
      </c>
      <c r="G204" s="0" t="str">
        <f aca="false">IFERROR(MATCH(200,Giorni!$N$2:$N$367,0),"")</f>
        <v/>
      </c>
    </row>
  </sheetData>
  <sheetProtection sheet="true" formatColumns="false" formatRows="false"/>
  <mergeCells count="3">
    <mergeCell ref="A1:F1"/>
    <mergeCell ref="A2:F2"/>
    <mergeCell ref="A3:F3"/>
  </mergeCells>
  <conditionalFormatting sqref="A5:F204">
    <cfRule type="expression" priority="2" aboveAverage="0" equalAverage="0" bottom="0" percent="0" rank="0" text="" dxfId="16">
      <formula>$D5="Assenza"</formula>
    </cfRule>
    <cfRule type="expression" priority="3" aboveAverage="0" equalAverage="0" bottom="0" percent="0" rank="0" text="" dxfId="17">
      <formula>$D5="Giustificata"</formula>
    </cfRule>
  </conditionalFormatting>
  <conditionalFormatting sqref="E5:F204">
    <cfRule type="expression" priority="4" aboveAverage="0" equalAverage="0" bottom="0" percent="0" rank="0" text="" dxfId="18">
      <formula>$E5="No"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2"/>
    <col collapsed="false" customWidth="true" hidden="false" outlineLevel="0" max="3" min="3" style="0" width="64"/>
  </cols>
  <sheetData>
    <row r="1" customFormat="false" ht="30" hidden="false" customHeight="true" outlineLevel="0" collapsed="false">
      <c r="A1" s="27" t="s">
        <v>74</v>
      </c>
      <c r="B1" s="27"/>
      <c r="C1" s="27"/>
    </row>
    <row r="2" customFormat="false" ht="15" hidden="false" customHeight="false" outlineLevel="0" collapsed="false">
      <c r="A2" s="60" t="s">
        <v>75</v>
      </c>
      <c r="B2" s="60"/>
      <c r="C2" s="60"/>
    </row>
    <row r="3" customFormat="false" ht="21.75" hidden="false" customHeight="true" outlineLevel="0" collapsed="false">
      <c r="A3" s="61" t="s">
        <v>76</v>
      </c>
      <c r="B3" s="61"/>
      <c r="C3" s="61"/>
    </row>
    <row r="4" customFormat="false" ht="30" hidden="false" customHeight="true" outlineLevel="0" collapsed="false">
      <c r="A4" s="62" t="s">
        <v>77</v>
      </c>
      <c r="B4" s="63" t="n">
        <v>46296</v>
      </c>
      <c r="C4" s="31" t="s">
        <v>78</v>
      </c>
    </row>
    <row r="5" customFormat="false" ht="30" hidden="false" customHeight="true" outlineLevel="0" collapsed="false">
      <c r="A5" s="62" t="s">
        <v>18</v>
      </c>
      <c r="B5" s="63" t="n">
        <v>46660</v>
      </c>
      <c r="C5" s="31" t="s">
        <v>79</v>
      </c>
    </row>
    <row r="6" customFormat="false" ht="30" hidden="false" customHeight="true" outlineLevel="0" collapsed="false">
      <c r="A6" s="62" t="s">
        <v>26</v>
      </c>
      <c r="B6" s="64" t="n">
        <v>0.56</v>
      </c>
      <c r="C6" s="31" t="s">
        <v>80</v>
      </c>
    </row>
    <row r="7" customFormat="false" ht="30" hidden="false" customHeight="true" outlineLevel="0" collapsed="false">
      <c r="A7" s="62" t="s">
        <v>81</v>
      </c>
      <c r="B7" s="63"/>
      <c r="C7" s="31" t="s">
        <v>82</v>
      </c>
    </row>
    <row r="8" customFormat="false" ht="30" hidden="false" customHeight="true" outlineLevel="0" collapsed="false">
      <c r="A8" s="62" t="s">
        <v>19</v>
      </c>
      <c r="B8" s="65" t="n">
        <f aca="true">IF(B7="",TODAY(),B7)</f>
        <v>46298</v>
      </c>
      <c r="C8" s="31" t="s">
        <v>83</v>
      </c>
    </row>
    <row r="9" customFormat="false" ht="30" hidden="false" customHeight="true" outlineLevel="0" collapsed="false">
      <c r="A9" s="62" t="s">
        <v>54</v>
      </c>
      <c r="B9" s="66" t="s">
        <v>59</v>
      </c>
      <c r="C9" s="31" t="s">
        <v>84</v>
      </c>
    </row>
    <row r="10" customFormat="false" ht="30" hidden="false" customHeight="true" outlineLevel="0" collapsed="false">
      <c r="A10" s="62" t="s">
        <v>85</v>
      </c>
      <c r="B10" s="67" t="n">
        <v>10</v>
      </c>
      <c r="C10" s="31" t="s">
        <v>86</v>
      </c>
    </row>
    <row r="11" customFormat="false" ht="30" hidden="false" customHeight="true" outlineLevel="0" collapsed="false">
      <c r="A11" s="62" t="s">
        <v>87</v>
      </c>
      <c r="B11" s="65" t="n">
        <f aca="false">EDATE(DATE(YEAR(B5),MONTH(B5),1),-11)</f>
        <v>46296</v>
      </c>
      <c r="C11" s="31" t="s">
        <v>88</v>
      </c>
    </row>
    <row r="12" customFormat="false" ht="30" hidden="false" customHeight="true" outlineLevel="0" collapsed="false">
      <c r="A12" s="62" t="s">
        <v>89</v>
      </c>
      <c r="B12" s="68" t="str">
        <f aca="false">IF(B5&lt;=B4,"La fine del periodo deve essere dopo l'inizio",IF(B4&lt;B11,"Il periodo supera i 12 mesi mostrati: sposta inizio o fine",IF(OR(B6&lt;=0,B6&gt;1),"La soglia deve essere tra 0% e 100%",IF(SUMPRODUCT(--((A16:A23&lt;&gt;"")&lt;&gt;(B16:B23&lt;&gt;"")))+SUMPRODUCT((A16:A23&lt;&gt;"")*(B16:B23&lt;&gt;"")*(A16:A23&gt;B16:B23))&gt;0,"Chiusure: controlla le date Dal/Al","OK"))))</f>
        <v>OK</v>
      </c>
      <c r="C12" s="31" t="s">
        <v>90</v>
      </c>
    </row>
    <row r="14" customFormat="false" ht="21.75" hidden="false" customHeight="true" outlineLevel="0" collapsed="false">
      <c r="A14" s="61" t="s">
        <v>91</v>
      </c>
      <c r="B14" s="61"/>
      <c r="C14" s="61"/>
    </row>
    <row r="15" customFormat="false" ht="15" hidden="false" customHeight="false" outlineLevel="0" collapsed="false">
      <c r="A15" s="52" t="s">
        <v>92</v>
      </c>
      <c r="B15" s="52" t="s">
        <v>93</v>
      </c>
      <c r="C15" s="52" t="s">
        <v>94</v>
      </c>
    </row>
    <row r="16" customFormat="false" ht="15" hidden="false" customHeight="false" outlineLevel="0" collapsed="false">
      <c r="A16" s="63" t="n">
        <v>46379</v>
      </c>
      <c r="B16" s="63" t="n">
        <v>46393</v>
      </c>
      <c r="C16" s="69" t="s">
        <v>95</v>
      </c>
    </row>
    <row r="17" customFormat="false" ht="15" hidden="false" customHeight="false" outlineLevel="0" collapsed="false">
      <c r="A17" s="63" t="n">
        <v>46600</v>
      </c>
      <c r="B17" s="63" t="n">
        <v>46630</v>
      </c>
      <c r="C17" s="69" t="s">
        <v>96</v>
      </c>
    </row>
    <row r="18" customFormat="false" ht="15" hidden="false" customHeight="false" outlineLevel="0" collapsed="false">
      <c r="A18" s="63"/>
      <c r="B18" s="63"/>
      <c r="C18" s="69"/>
    </row>
    <row r="19" customFormat="false" ht="15" hidden="false" customHeight="false" outlineLevel="0" collapsed="false">
      <c r="A19" s="63"/>
      <c r="B19" s="63"/>
      <c r="C19" s="69"/>
    </row>
    <row r="20" customFormat="false" ht="15" hidden="false" customHeight="false" outlineLevel="0" collapsed="false">
      <c r="A20" s="63"/>
      <c r="B20" s="63"/>
      <c r="C20" s="69"/>
    </row>
    <row r="21" customFormat="false" ht="15" hidden="false" customHeight="false" outlineLevel="0" collapsed="false">
      <c r="A21" s="63"/>
      <c r="B21" s="63"/>
      <c r="C21" s="69"/>
    </row>
    <row r="22" customFormat="false" ht="15" hidden="false" customHeight="false" outlineLevel="0" collapsed="false">
      <c r="A22" s="63"/>
      <c r="B22" s="63"/>
      <c r="C22" s="69"/>
    </row>
    <row r="23" customFormat="false" ht="15" hidden="false" customHeight="false" outlineLevel="0" collapsed="false">
      <c r="A23" s="63"/>
      <c r="B23" s="63"/>
      <c r="C23" s="69"/>
    </row>
    <row r="25" customFormat="false" ht="21.75" hidden="false" customHeight="true" outlineLevel="0" collapsed="false">
      <c r="A25" s="61" t="s">
        <v>97</v>
      </c>
      <c r="B25" s="61"/>
      <c r="C25" s="61"/>
    </row>
    <row r="26" customFormat="false" ht="15" hidden="false" customHeight="false" outlineLevel="0" collapsed="false">
      <c r="A26" s="52" t="s">
        <v>69</v>
      </c>
      <c r="B26" s="52" t="s">
        <v>70</v>
      </c>
      <c r="C26" s="52" t="s">
        <v>94</v>
      </c>
    </row>
    <row r="27" customFormat="false" ht="15" hidden="false" customHeight="false" outlineLevel="0" collapsed="false">
      <c r="A27" s="63" t="n">
        <v>46327</v>
      </c>
      <c r="B27" s="70" t="str">
        <f aca="false">IF(A27="","",CHOOSE(WEEKDAY(A27,2),"lun","mar","mer","gio","ven","sab","dom"))</f>
        <v>dom</v>
      </c>
      <c r="C27" s="69" t="s">
        <v>98</v>
      </c>
    </row>
    <row r="28" customFormat="false" ht="15" hidden="false" customHeight="false" outlineLevel="0" collapsed="false">
      <c r="A28" s="63" t="n">
        <v>46364</v>
      </c>
      <c r="B28" s="70" t="str">
        <f aca="false">IF(A28="","",CHOOSE(WEEKDAY(A28,2),"lun","mar","mer","gio","ven","sab","dom"))</f>
        <v>mar</v>
      </c>
      <c r="C28" s="69" t="s">
        <v>99</v>
      </c>
    </row>
    <row r="29" customFormat="false" ht="15" hidden="false" customHeight="false" outlineLevel="0" collapsed="false">
      <c r="A29" s="63" t="n">
        <v>46381</v>
      </c>
      <c r="B29" s="70" t="str">
        <f aca="false">IF(A29="","",CHOOSE(WEEKDAY(A29,2),"lun","mar","mer","gio","ven","sab","dom"))</f>
        <v>ven</v>
      </c>
      <c r="C29" s="69" t="s">
        <v>100</v>
      </c>
    </row>
    <row r="30" customFormat="false" ht="15" hidden="false" customHeight="false" outlineLevel="0" collapsed="false">
      <c r="A30" s="63" t="n">
        <v>46382</v>
      </c>
      <c r="B30" s="70" t="str">
        <f aca="false">IF(A30="","",CHOOSE(WEEKDAY(A30,2),"lun","mar","mer","gio","ven","sab","dom"))</f>
        <v>sab</v>
      </c>
      <c r="C30" s="69" t="s">
        <v>101</v>
      </c>
    </row>
    <row r="31" customFormat="false" ht="15" hidden="false" customHeight="false" outlineLevel="0" collapsed="false">
      <c r="A31" s="63" t="n">
        <v>46388</v>
      </c>
      <c r="B31" s="70" t="str">
        <f aca="false">IF(A31="","",CHOOSE(WEEKDAY(A31,2),"lun","mar","mer","gio","ven","sab","dom"))</f>
        <v>ven</v>
      </c>
      <c r="C31" s="69" t="s">
        <v>102</v>
      </c>
    </row>
    <row r="32" customFormat="false" ht="15" hidden="false" customHeight="false" outlineLevel="0" collapsed="false">
      <c r="A32" s="63" t="n">
        <v>46393</v>
      </c>
      <c r="B32" s="70" t="str">
        <f aca="false">IF(A32="","",CHOOSE(WEEKDAY(A32,2),"lun","mar","mer","gio","ven","sab","dom"))</f>
        <v>mer</v>
      </c>
      <c r="C32" s="69" t="s">
        <v>103</v>
      </c>
    </row>
    <row r="33" customFormat="false" ht="15" hidden="false" customHeight="false" outlineLevel="0" collapsed="false">
      <c r="A33" s="63" t="n">
        <v>46474</v>
      </c>
      <c r="B33" s="70" t="str">
        <f aca="false">IF(A33="","",CHOOSE(WEEKDAY(A33,2),"lun","mar","mer","gio","ven","sab","dom"))</f>
        <v>dom</v>
      </c>
      <c r="C33" s="69" t="s">
        <v>104</v>
      </c>
    </row>
    <row r="34" customFormat="false" ht="15" hidden="false" customHeight="false" outlineLevel="0" collapsed="false">
      <c r="A34" s="63" t="n">
        <v>46475</v>
      </c>
      <c r="B34" s="70" t="str">
        <f aca="false">IF(A34="","",CHOOSE(WEEKDAY(A34,2),"lun","mar","mer","gio","ven","sab","dom"))</f>
        <v>lun</v>
      </c>
      <c r="C34" s="69" t="s">
        <v>105</v>
      </c>
    </row>
    <row r="35" customFormat="false" ht="15" hidden="false" customHeight="false" outlineLevel="0" collapsed="false">
      <c r="A35" s="63" t="n">
        <v>46502</v>
      </c>
      <c r="B35" s="70" t="str">
        <f aca="false">IF(A35="","",CHOOSE(WEEKDAY(A35,2),"lun","mar","mer","gio","ven","sab","dom"))</f>
        <v>dom</v>
      </c>
      <c r="C35" s="69" t="s">
        <v>106</v>
      </c>
    </row>
    <row r="36" customFormat="false" ht="15" hidden="false" customHeight="false" outlineLevel="0" collapsed="false">
      <c r="A36" s="63" t="n">
        <v>46508</v>
      </c>
      <c r="B36" s="70" t="str">
        <f aca="false">IF(A36="","",CHOOSE(WEEKDAY(A36,2),"lun","mar","mer","gio","ven","sab","dom"))</f>
        <v>sab</v>
      </c>
      <c r="C36" s="69" t="s">
        <v>107</v>
      </c>
    </row>
    <row r="37" customFormat="false" ht="15" hidden="false" customHeight="false" outlineLevel="0" collapsed="false">
      <c r="A37" s="63" t="n">
        <v>46540</v>
      </c>
      <c r="B37" s="70" t="str">
        <f aca="false">IF(A37="","",CHOOSE(WEEKDAY(A37,2),"lun","mar","mer","gio","ven","sab","dom"))</f>
        <v>mer</v>
      </c>
      <c r="C37" s="69" t="s">
        <v>108</v>
      </c>
    </row>
    <row r="38" customFormat="false" ht="15" hidden="false" customHeight="false" outlineLevel="0" collapsed="false">
      <c r="A38" s="63" t="n">
        <v>46614</v>
      </c>
      <c r="B38" s="70" t="str">
        <f aca="false">IF(A38="","",CHOOSE(WEEKDAY(A38,2),"lun","mar","mer","gio","ven","sab","dom"))</f>
        <v>dom</v>
      </c>
      <c r="C38" s="69" t="s">
        <v>109</v>
      </c>
    </row>
    <row r="39" customFormat="false" ht="15" hidden="false" customHeight="false" outlineLevel="0" collapsed="false">
      <c r="A39" s="63"/>
      <c r="B39" s="70" t="str">
        <f aca="false">IF(A39="","",CHOOSE(WEEKDAY(A39,2),"lun","mar","mer","gio","ven","sab","dom"))</f>
        <v/>
      </c>
      <c r="C39" s="69"/>
    </row>
    <row r="40" customFormat="false" ht="15" hidden="false" customHeight="false" outlineLevel="0" collapsed="false">
      <c r="A40" s="63"/>
      <c r="B40" s="70" t="str">
        <f aca="false">IF(A40="","",CHOOSE(WEEKDAY(A40,2),"lun","mar","mer","gio","ven","sab","dom"))</f>
        <v/>
      </c>
      <c r="C40" s="69"/>
    </row>
    <row r="41" customFormat="false" ht="15" hidden="false" customHeight="false" outlineLevel="0" collapsed="false">
      <c r="A41" s="63"/>
      <c r="B41" s="70" t="str">
        <f aca="false">IF(A41="","",CHOOSE(WEEKDAY(A41,2),"lun","mar","mer","gio","ven","sab","dom"))</f>
        <v/>
      </c>
      <c r="C41" s="69"/>
    </row>
    <row r="42" customFormat="false" ht="15" hidden="false" customHeight="false" outlineLevel="0" collapsed="false">
      <c r="A42" s="63"/>
      <c r="B42" s="70" t="str">
        <f aca="false">IF(A42="","",CHOOSE(WEEKDAY(A42,2),"lun","mar","mer","gio","ven","sab","dom"))</f>
        <v/>
      </c>
      <c r="C42" s="69"/>
    </row>
    <row r="43" customFormat="false" ht="15" hidden="false" customHeight="false" outlineLevel="0" collapsed="false">
      <c r="A43" s="63"/>
      <c r="B43" s="70" t="str">
        <f aca="false">IF(A43="","",CHOOSE(WEEKDAY(A43,2),"lun","mar","mer","gio","ven","sab","dom"))</f>
        <v/>
      </c>
      <c r="C43" s="69"/>
    </row>
    <row r="44" customFormat="false" ht="15" hidden="false" customHeight="false" outlineLevel="0" collapsed="false">
      <c r="A44" s="63"/>
      <c r="B44" s="70" t="str">
        <f aca="false">IF(A44="","",CHOOSE(WEEKDAY(A44,2),"lun","mar","mer","gio","ven","sab","dom"))</f>
        <v/>
      </c>
      <c r="C44" s="69"/>
    </row>
    <row r="45" customFormat="false" ht="15" hidden="false" customHeight="false" outlineLevel="0" collapsed="false">
      <c r="A45" s="63"/>
      <c r="B45" s="70" t="str">
        <f aca="false">IF(A45="","",CHOOSE(WEEKDAY(A45,2),"lun","mar","mer","gio","ven","sab","dom"))</f>
        <v/>
      </c>
      <c r="C45" s="69"/>
    </row>
    <row r="46" customFormat="false" ht="15" hidden="false" customHeight="false" outlineLevel="0" collapsed="false">
      <c r="A46" s="63"/>
      <c r="B46" s="70" t="str">
        <f aca="false">IF(A46="","",CHOOSE(WEEKDAY(A46,2),"lun","mar","mer","gio","ven","sab","dom"))</f>
        <v/>
      </c>
      <c r="C46" s="69"/>
    </row>
    <row r="47" customFormat="false" ht="15" hidden="false" customHeight="false" outlineLevel="0" collapsed="false">
      <c r="A47" s="63"/>
      <c r="B47" s="70" t="str">
        <f aca="false">IF(A47="","",CHOOSE(WEEKDAY(A47,2),"lun","mar","mer","gio","ven","sab","dom"))</f>
        <v/>
      </c>
      <c r="C47" s="69"/>
    </row>
    <row r="48" customFormat="false" ht="15" hidden="false" customHeight="false" outlineLevel="0" collapsed="false">
      <c r="A48" s="63"/>
      <c r="B48" s="70" t="str">
        <f aca="false">IF(A48="","",CHOOSE(WEEKDAY(A48,2),"lun","mar","mer","gio","ven","sab","dom"))</f>
        <v/>
      </c>
      <c r="C48" s="69"/>
    </row>
    <row r="49" customFormat="false" ht="15" hidden="false" customHeight="false" outlineLevel="0" collapsed="false">
      <c r="A49" s="63"/>
      <c r="B49" s="70" t="str">
        <f aca="false">IF(A49="","",CHOOSE(WEEKDAY(A49,2),"lun","mar","mer","gio","ven","sab","dom"))</f>
        <v/>
      </c>
      <c r="C49" s="69"/>
    </row>
    <row r="50" customFormat="false" ht="15" hidden="false" customHeight="false" outlineLevel="0" collapsed="false">
      <c r="A50" s="63"/>
      <c r="B50" s="70" t="str">
        <f aca="false">IF(A50="","",CHOOSE(WEEKDAY(A50,2),"lun","mar","mer","gio","ven","sab","dom"))</f>
        <v/>
      </c>
      <c r="C50" s="69"/>
    </row>
    <row r="51" customFormat="false" ht="15" hidden="false" customHeight="false" outlineLevel="0" collapsed="false">
      <c r="A51" s="63"/>
      <c r="B51" s="70" t="str">
        <f aca="false">IF(A51="","",CHOOSE(WEEKDAY(A51,2),"lun","mar","mer","gio","ven","sab","dom"))</f>
        <v/>
      </c>
      <c r="C51" s="69"/>
    </row>
    <row r="52" customFormat="false" ht="15" hidden="false" customHeight="false" outlineLevel="0" collapsed="false">
      <c r="A52" s="63"/>
      <c r="B52" s="70" t="str">
        <f aca="false">IF(A52="","",CHOOSE(WEEKDAY(A52,2),"lun","mar","mer","gio","ven","sab","dom"))</f>
        <v/>
      </c>
      <c r="C52" s="69"/>
    </row>
    <row r="53" customFormat="false" ht="15" hidden="false" customHeight="false" outlineLevel="0" collapsed="false">
      <c r="A53" s="63"/>
      <c r="B53" s="70" t="str">
        <f aca="false">IF(A53="","",CHOOSE(WEEKDAY(A53,2),"lun","mar","mer","gio","ven","sab","dom"))</f>
        <v/>
      </c>
      <c r="C53" s="69"/>
    </row>
    <row r="54" customFormat="false" ht="15" hidden="false" customHeight="false" outlineLevel="0" collapsed="false">
      <c r="A54" s="63"/>
      <c r="B54" s="70" t="str">
        <f aca="false">IF(A54="","",CHOOSE(WEEKDAY(A54,2),"lun","mar","mer","gio","ven","sab","dom"))</f>
        <v/>
      </c>
      <c r="C54" s="69"/>
    </row>
    <row r="55" customFormat="false" ht="15" hidden="false" customHeight="false" outlineLevel="0" collapsed="false">
      <c r="A55" s="63"/>
      <c r="B55" s="70" t="str">
        <f aca="false">IF(A55="","",CHOOSE(WEEKDAY(A55,2),"lun","mar","mer","gio","ven","sab","dom"))</f>
        <v/>
      </c>
      <c r="C55" s="69"/>
    </row>
    <row r="56" customFormat="false" ht="15" hidden="false" customHeight="false" outlineLevel="0" collapsed="false">
      <c r="A56" s="63"/>
      <c r="B56" s="70" t="str">
        <f aca="false">IF(A56="","",CHOOSE(WEEKDAY(A56,2),"lun","mar","mer","gio","ven","sab","dom"))</f>
        <v/>
      </c>
      <c r="C56" s="69"/>
    </row>
    <row r="58" customFormat="false" ht="21.75" hidden="false" customHeight="true" outlineLevel="0" collapsed="false">
      <c r="A58" s="71" t="s">
        <v>110</v>
      </c>
      <c r="B58" s="71"/>
      <c r="C58" s="71"/>
    </row>
    <row r="59" customFormat="false" ht="27.75" hidden="false" customHeight="true" outlineLevel="0" collapsed="false">
      <c r="A59" s="72" t="s">
        <v>111</v>
      </c>
      <c r="B59" s="72"/>
      <c r="C59" s="72"/>
    </row>
    <row r="60" customFormat="false" ht="27.75" hidden="false" customHeight="true" outlineLevel="0" collapsed="false">
      <c r="A60" s="72" t="s">
        <v>112</v>
      </c>
      <c r="B60" s="72"/>
      <c r="C60" s="72"/>
    </row>
    <row r="61" customFormat="false" ht="27.75" hidden="false" customHeight="true" outlineLevel="0" collapsed="false">
      <c r="A61" s="72" t="s">
        <v>113</v>
      </c>
      <c r="B61" s="72"/>
      <c r="C61" s="72"/>
    </row>
    <row r="62" customFormat="false" ht="27.75" hidden="false" customHeight="true" outlineLevel="0" collapsed="false">
      <c r="A62" s="72" t="s">
        <v>114</v>
      </c>
      <c r="B62" s="72"/>
      <c r="C62" s="72"/>
    </row>
    <row r="63" customFormat="false" ht="27.75" hidden="false" customHeight="true" outlineLevel="0" collapsed="false">
      <c r="A63" s="72" t="s">
        <v>115</v>
      </c>
      <c r="B63" s="72"/>
      <c r="C63" s="72"/>
    </row>
    <row r="64" customFormat="false" ht="27.75" hidden="false" customHeight="true" outlineLevel="0" collapsed="false">
      <c r="A64" s="72" t="s">
        <v>116</v>
      </c>
      <c r="B64" s="72"/>
      <c r="C64" s="72"/>
    </row>
    <row r="65" customFormat="false" ht="27.75" hidden="false" customHeight="true" outlineLevel="0" collapsed="false">
      <c r="A65" s="72" t="s">
        <v>117</v>
      </c>
      <c r="B65" s="72"/>
      <c r="C65" s="72"/>
    </row>
    <row r="66" customFormat="false" ht="27.75" hidden="false" customHeight="true" outlineLevel="0" collapsed="false">
      <c r="A66" s="72" t="s">
        <v>118</v>
      </c>
      <c r="B66" s="72"/>
      <c r="C66" s="72"/>
    </row>
    <row r="67" customFormat="false" ht="27.75" hidden="false" customHeight="true" outlineLevel="0" collapsed="false">
      <c r="A67" s="72" t="s">
        <v>119</v>
      </c>
      <c r="B67" s="72"/>
      <c r="C67" s="72"/>
    </row>
    <row r="68" customFormat="false" ht="27.75" hidden="false" customHeight="true" outlineLevel="0" collapsed="false">
      <c r="A68" s="72" t="s">
        <v>120</v>
      </c>
      <c r="B68" s="72"/>
      <c r="C68" s="72"/>
    </row>
  </sheetData>
  <sheetProtection sheet="true" formatColumns="false" formatRows="false"/>
  <mergeCells count="16">
    <mergeCell ref="A1:C1"/>
    <mergeCell ref="A2:C2"/>
    <mergeCell ref="A3:C3"/>
    <mergeCell ref="A14:C14"/>
    <mergeCell ref="A25:C25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</mergeCells>
  <conditionalFormatting sqref="B12">
    <cfRule type="expression" priority="2" aboveAverage="0" equalAverage="0" bottom="0" percent="0" rank="0" text="" dxfId="19">
      <formula>$B$12&lt;&gt;"OK"</formula>
    </cfRule>
    <cfRule type="expression" priority="3" aboveAverage="0" equalAverage="0" bottom="0" percent="0" rank="0" text="" dxfId="20">
      <formula>$B$12="OK"</formula>
    </cfRule>
  </conditionalFormatting>
  <dataValidations count="2">
    <dataValidation allowBlank="false" error="Scegli un valore dalla tendina." errorStyle="stop" errorTitle="Valore non valido" operator="between" showDropDown="false" showErrorMessage="false" showInputMessage="false" sqref="B9" type="list">
      <formula1>"Giorni validi,Giorni di calendario"</formula1>
      <formula2>0</formula2>
    </dataValidation>
    <dataValidation allowBlank="true" error="Inserisci una data valida (gg/mm/aaaa)." errorStyle="stop" errorTitle="Data non valida" operator="greaterThan" showDropDown="false" showErrorMessage="false" showInputMessage="false" sqref="B4:B5 B7 A16:B23 A27:A56" type="date">
      <formula1>36526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36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0"/>
    <col collapsed="false" customWidth="true" hidden="false" outlineLevel="0" max="7" min="4" style="0" width="9"/>
    <col collapsed="false" customWidth="true" hidden="false" outlineLevel="0" max="8" min="8" style="0" width="10"/>
    <col collapsed="false" customWidth="true" hidden="false" outlineLevel="0" max="9" min="9" style="0" width="8"/>
    <col collapsed="false" customWidth="true" hidden="false" outlineLevel="0" max="10" min="10" style="0" width="14"/>
    <col collapsed="false" customWidth="true" hidden="false" outlineLevel="0" max="11" min="11" style="0" width="12"/>
    <col collapsed="false" customWidth="true" hidden="false" outlineLevel="0" max="12" min="12" style="0" width="13"/>
    <col collapsed="false" customWidth="true" hidden="false" outlineLevel="0" max="13" min="13" style="0" width="8"/>
    <col collapsed="false" customWidth="true" hidden="false" outlineLevel="0" max="14" min="14" style="0" width="11"/>
  </cols>
  <sheetData>
    <row r="1" customFormat="false" ht="15" hidden="false" customHeight="false" outlineLevel="0" collapsed="false">
      <c r="A1" s="73" t="s">
        <v>69</v>
      </c>
      <c r="B1" s="73" t="s">
        <v>58</v>
      </c>
      <c r="C1" s="73" t="s">
        <v>121</v>
      </c>
      <c r="D1" s="73" t="s">
        <v>122</v>
      </c>
      <c r="E1" s="73" t="s">
        <v>123</v>
      </c>
      <c r="F1" s="73" t="s">
        <v>124</v>
      </c>
      <c r="G1" s="73" t="s">
        <v>125</v>
      </c>
      <c r="H1" s="73" t="s">
        <v>126</v>
      </c>
      <c r="I1" s="73" t="s">
        <v>127</v>
      </c>
      <c r="J1" s="73" t="s">
        <v>128</v>
      </c>
      <c r="K1" s="73" t="s">
        <v>129</v>
      </c>
      <c r="L1" s="73" t="s">
        <v>130</v>
      </c>
      <c r="M1" s="73" t="s">
        <v>131</v>
      </c>
      <c r="N1" s="73" t="s">
        <v>132</v>
      </c>
      <c r="P1" s="74" t="s">
        <v>133</v>
      </c>
    </row>
    <row r="2" customFormat="false" ht="15" hidden="false" customHeight="false" outlineLevel="0" collapsed="false">
      <c r="A2" s="75" t="n">
        <f aca="false">Impostazioni!$B$11</f>
        <v>46296</v>
      </c>
      <c r="B2" s="76" t="n">
        <f aca="false">DATE(YEAR(A2),MONTH(A2),1)</f>
        <v>46296</v>
      </c>
      <c r="C2" s="77" t="n">
        <f aca="false">IF(AND(A2&gt;=Impostazioni!$B$4,A2&lt;=Impostazioni!$B$5),1,0)</f>
        <v>1</v>
      </c>
      <c r="D2" s="77" t="n">
        <f aca="false">IF(COUNTIF(Impostazioni!$A$27:$A$56,A2)&gt;0,1,0)</f>
        <v>0</v>
      </c>
      <c r="E2" s="77" t="n">
        <f aca="false">IF(COUNTIFS(Impostazioni!$A$16:$A$23,"&lt;="&amp;A2,Impostazioni!$B$16:$B$23,"&gt;="&amp;A2)&gt;0,1,0)</f>
        <v>0</v>
      </c>
      <c r="F2" s="77" t="n">
        <f aca="false">IF(AND(C2=1,D2=0,E2=0),1,0)</f>
        <v>1</v>
      </c>
      <c r="G2" s="77" t="n">
        <f aca="false">(YEAR(A2)-YEAR(Impostazioni!$B$11))*12+MONTH(A2)-MONTH(Impostazioni!$B$11)</f>
        <v>0</v>
      </c>
      <c r="H2" s="77" t="n">
        <f aca="false">INT((DAY(A2)-1+WEEKDAY(DATE(YEAR(A2),MONTH(A2),1),2)-1)/7)</f>
        <v>0</v>
      </c>
      <c r="I2" s="77" t="str">
        <f aca="false">IF(G2&gt;11,"",INDEX(Calendario!$A$14:$G$193,4+15*G2+2*H2,WEEKDAY(A2,2))&amp;"")</f>
        <v/>
      </c>
      <c r="J2" s="77" t="n">
        <f aca="false">IF(AND(F2=1,I2="A"),1,0)</f>
        <v>0</v>
      </c>
      <c r="K2" s="77" t="n">
        <f aca="false">IF(AND(F2=1,I2="G"),1,0)</f>
        <v>0</v>
      </c>
      <c r="L2" s="77" t="n">
        <f aca="false">IF(AND(F2=1,A2&gt;=Impostazioni!$B$8),1,0)</f>
        <v>0</v>
      </c>
      <c r="M2" s="77" t="n">
        <f aca="false">IF(C2=0,3,IF(OR(D2=1,E2=1),2,IF(WEEKDAY(A2,2)&gt;5,1,0)))</f>
        <v>0</v>
      </c>
      <c r="N2" s="77" t="str">
        <f aca="false">IF(OR(I2="A",I2="G"),MAX(N$1:N1)+1,"")</f>
        <v/>
      </c>
    </row>
    <row r="3" customFormat="false" ht="15" hidden="false" customHeight="false" outlineLevel="0" collapsed="false">
      <c r="A3" s="75" t="n">
        <f aca="false">A2+1</f>
        <v>46297</v>
      </c>
      <c r="B3" s="76" t="n">
        <f aca="false">DATE(YEAR(A3),MONTH(A3),1)</f>
        <v>46296</v>
      </c>
      <c r="C3" s="77" t="n">
        <f aca="false">IF(AND(A3&gt;=Impostazioni!$B$4,A3&lt;=Impostazioni!$B$5),1,0)</f>
        <v>1</v>
      </c>
      <c r="D3" s="77" t="n">
        <f aca="false">IF(COUNTIF(Impostazioni!$A$27:$A$56,A3)&gt;0,1,0)</f>
        <v>0</v>
      </c>
      <c r="E3" s="77" t="n">
        <f aca="false">IF(COUNTIFS(Impostazioni!$A$16:$A$23,"&lt;="&amp;A3,Impostazioni!$B$16:$B$23,"&gt;="&amp;A3)&gt;0,1,0)</f>
        <v>0</v>
      </c>
      <c r="F3" s="77" t="n">
        <f aca="false">IF(AND(C3=1,D3=0,E3=0),1,0)</f>
        <v>1</v>
      </c>
      <c r="G3" s="77" t="n">
        <f aca="false">(YEAR(A3)-YEAR(Impostazioni!$B$11))*12+MONTH(A3)-MONTH(Impostazioni!$B$11)</f>
        <v>0</v>
      </c>
      <c r="H3" s="77" t="n">
        <f aca="false">INT((DAY(A3)-1+WEEKDAY(DATE(YEAR(A3),MONTH(A3),1),2)-1)/7)</f>
        <v>0</v>
      </c>
      <c r="I3" s="77" t="str">
        <f aca="false">IF(G3&gt;11,"",INDEX(Calendario!$A$14:$G$193,4+15*G3+2*H3,WEEKDAY(A3,2))&amp;"")</f>
        <v/>
      </c>
      <c r="J3" s="77" t="n">
        <f aca="false">IF(AND(F3=1,I3="A"),1,0)</f>
        <v>0</v>
      </c>
      <c r="K3" s="77" t="n">
        <f aca="false">IF(AND(F3=1,I3="G"),1,0)</f>
        <v>0</v>
      </c>
      <c r="L3" s="77" t="n">
        <f aca="false">IF(AND(F3=1,A3&gt;=Impostazioni!$B$8),1,0)</f>
        <v>0</v>
      </c>
      <c r="M3" s="77" t="n">
        <f aca="false">IF(C3=0,3,IF(OR(D3=1,E3=1),2,IF(WEEKDAY(A3,2)&gt;5,1,0)))</f>
        <v>0</v>
      </c>
      <c r="N3" s="77" t="str">
        <f aca="false">IF(OR(I3="A",I3="G"),MAX(N$1:N2)+1,"")</f>
        <v/>
      </c>
    </row>
    <row r="4" customFormat="false" ht="15" hidden="false" customHeight="false" outlineLevel="0" collapsed="false">
      <c r="A4" s="75" t="n">
        <f aca="false">A3+1</f>
        <v>46298</v>
      </c>
      <c r="B4" s="76" t="n">
        <f aca="false">DATE(YEAR(A4),MONTH(A4),1)</f>
        <v>46296</v>
      </c>
      <c r="C4" s="77" t="n">
        <f aca="false">IF(AND(A4&gt;=Impostazioni!$B$4,A4&lt;=Impostazioni!$B$5),1,0)</f>
        <v>1</v>
      </c>
      <c r="D4" s="77" t="n">
        <f aca="false">IF(COUNTIF(Impostazioni!$A$27:$A$56,A4)&gt;0,1,0)</f>
        <v>0</v>
      </c>
      <c r="E4" s="77" t="n">
        <f aca="false">IF(COUNTIFS(Impostazioni!$A$16:$A$23,"&lt;="&amp;A4,Impostazioni!$B$16:$B$23,"&gt;="&amp;A4)&gt;0,1,0)</f>
        <v>0</v>
      </c>
      <c r="F4" s="77" t="n">
        <f aca="false">IF(AND(C4=1,D4=0,E4=0),1,0)</f>
        <v>1</v>
      </c>
      <c r="G4" s="77" t="n">
        <f aca="false">(YEAR(A4)-YEAR(Impostazioni!$B$11))*12+MONTH(A4)-MONTH(Impostazioni!$B$11)</f>
        <v>0</v>
      </c>
      <c r="H4" s="77" t="n">
        <f aca="false">INT((DAY(A4)-1+WEEKDAY(DATE(YEAR(A4),MONTH(A4),1),2)-1)/7)</f>
        <v>0</v>
      </c>
      <c r="I4" s="77" t="str">
        <f aca="false">IF(G4&gt;11,"",INDEX(Calendario!$A$14:$G$193,4+15*G4+2*H4,WEEKDAY(A4,2))&amp;"")</f>
        <v/>
      </c>
      <c r="J4" s="77" t="n">
        <f aca="false">IF(AND(F4=1,I4="A"),1,0)</f>
        <v>0</v>
      </c>
      <c r="K4" s="77" t="n">
        <f aca="false">IF(AND(F4=1,I4="G"),1,0)</f>
        <v>0</v>
      </c>
      <c r="L4" s="77" t="n">
        <f aca="false">IF(AND(F4=1,A4&gt;=Impostazioni!$B$8),1,0)</f>
        <v>1</v>
      </c>
      <c r="M4" s="77" t="n">
        <f aca="false">IF(C4=0,3,IF(OR(D4=1,E4=1),2,IF(WEEKDAY(A4,2)&gt;5,1,0)))</f>
        <v>1</v>
      </c>
      <c r="N4" s="77" t="str">
        <f aca="false">IF(OR(I4="A",I4="G"),MAX(N$1:N3)+1,"")</f>
        <v/>
      </c>
    </row>
    <row r="5" customFormat="false" ht="15" hidden="false" customHeight="false" outlineLevel="0" collapsed="false">
      <c r="A5" s="75" t="n">
        <f aca="false">A4+1</f>
        <v>46299</v>
      </c>
      <c r="B5" s="76" t="n">
        <f aca="false">DATE(YEAR(A5),MONTH(A5),1)</f>
        <v>46296</v>
      </c>
      <c r="C5" s="77" t="n">
        <f aca="false">IF(AND(A5&gt;=Impostazioni!$B$4,A5&lt;=Impostazioni!$B$5),1,0)</f>
        <v>1</v>
      </c>
      <c r="D5" s="77" t="n">
        <f aca="false">IF(COUNTIF(Impostazioni!$A$27:$A$56,A5)&gt;0,1,0)</f>
        <v>0</v>
      </c>
      <c r="E5" s="77" t="n">
        <f aca="false">IF(COUNTIFS(Impostazioni!$A$16:$A$23,"&lt;="&amp;A5,Impostazioni!$B$16:$B$23,"&gt;="&amp;A5)&gt;0,1,0)</f>
        <v>0</v>
      </c>
      <c r="F5" s="77" t="n">
        <f aca="false">IF(AND(C5=1,D5=0,E5=0),1,0)</f>
        <v>1</v>
      </c>
      <c r="G5" s="77" t="n">
        <f aca="false">(YEAR(A5)-YEAR(Impostazioni!$B$11))*12+MONTH(A5)-MONTH(Impostazioni!$B$11)</f>
        <v>0</v>
      </c>
      <c r="H5" s="77" t="n">
        <f aca="false">INT((DAY(A5)-1+WEEKDAY(DATE(YEAR(A5),MONTH(A5),1),2)-1)/7)</f>
        <v>0</v>
      </c>
      <c r="I5" s="77" t="str">
        <f aca="false">IF(G5&gt;11,"",INDEX(Calendario!$A$14:$G$193,4+15*G5+2*H5,WEEKDAY(A5,2))&amp;"")</f>
        <v/>
      </c>
      <c r="J5" s="77" t="n">
        <f aca="false">IF(AND(F5=1,I5="A"),1,0)</f>
        <v>0</v>
      </c>
      <c r="K5" s="77" t="n">
        <f aca="false">IF(AND(F5=1,I5="G"),1,0)</f>
        <v>0</v>
      </c>
      <c r="L5" s="77" t="n">
        <f aca="false">IF(AND(F5=1,A5&gt;=Impostazioni!$B$8),1,0)</f>
        <v>1</v>
      </c>
      <c r="M5" s="77" t="n">
        <f aca="false">IF(C5=0,3,IF(OR(D5=1,E5=1),2,IF(WEEKDAY(A5,2)&gt;5,1,0)))</f>
        <v>1</v>
      </c>
      <c r="N5" s="77" t="str">
        <f aca="false">IF(OR(I5="A",I5="G"),MAX(N$1:N4)+1,"")</f>
        <v/>
      </c>
    </row>
    <row r="6" customFormat="false" ht="15" hidden="false" customHeight="false" outlineLevel="0" collapsed="false">
      <c r="A6" s="75" t="n">
        <f aca="false">A5+1</f>
        <v>46300</v>
      </c>
      <c r="B6" s="76" t="n">
        <f aca="false">DATE(YEAR(A6),MONTH(A6),1)</f>
        <v>46296</v>
      </c>
      <c r="C6" s="77" t="n">
        <f aca="false">IF(AND(A6&gt;=Impostazioni!$B$4,A6&lt;=Impostazioni!$B$5),1,0)</f>
        <v>1</v>
      </c>
      <c r="D6" s="77" t="n">
        <f aca="false">IF(COUNTIF(Impostazioni!$A$27:$A$56,A6)&gt;0,1,0)</f>
        <v>0</v>
      </c>
      <c r="E6" s="77" t="n">
        <f aca="false">IF(COUNTIFS(Impostazioni!$A$16:$A$23,"&lt;="&amp;A6,Impostazioni!$B$16:$B$23,"&gt;="&amp;A6)&gt;0,1,0)</f>
        <v>0</v>
      </c>
      <c r="F6" s="77" t="n">
        <f aca="false">IF(AND(C6=1,D6=0,E6=0),1,0)</f>
        <v>1</v>
      </c>
      <c r="G6" s="77" t="n">
        <f aca="false">(YEAR(A6)-YEAR(Impostazioni!$B$11))*12+MONTH(A6)-MONTH(Impostazioni!$B$11)</f>
        <v>0</v>
      </c>
      <c r="H6" s="77" t="n">
        <f aca="false">INT((DAY(A6)-1+WEEKDAY(DATE(YEAR(A6),MONTH(A6),1),2)-1)/7)</f>
        <v>1</v>
      </c>
      <c r="I6" s="77" t="str">
        <f aca="false">IF(G6&gt;11,"",INDEX(Calendario!$A$14:$G$193,4+15*G6+2*H6,WEEKDAY(A6,2))&amp;"")</f>
        <v/>
      </c>
      <c r="J6" s="77" t="n">
        <f aca="false">IF(AND(F6=1,I6="A"),1,0)</f>
        <v>0</v>
      </c>
      <c r="K6" s="77" t="n">
        <f aca="false">IF(AND(F6=1,I6="G"),1,0)</f>
        <v>0</v>
      </c>
      <c r="L6" s="77" t="n">
        <f aca="false">IF(AND(F6=1,A6&gt;=Impostazioni!$B$8),1,0)</f>
        <v>1</v>
      </c>
      <c r="M6" s="77" t="n">
        <f aca="false">IF(C6=0,3,IF(OR(D6=1,E6=1),2,IF(WEEKDAY(A6,2)&gt;5,1,0)))</f>
        <v>0</v>
      </c>
      <c r="N6" s="77" t="str">
        <f aca="false">IF(OR(I6="A",I6="G"),MAX(N$1:N5)+1,"")</f>
        <v/>
      </c>
    </row>
    <row r="7" customFormat="false" ht="15" hidden="false" customHeight="false" outlineLevel="0" collapsed="false">
      <c r="A7" s="75" t="n">
        <f aca="false">A6+1</f>
        <v>46301</v>
      </c>
      <c r="B7" s="76" t="n">
        <f aca="false">DATE(YEAR(A7),MONTH(A7),1)</f>
        <v>46296</v>
      </c>
      <c r="C7" s="77" t="n">
        <f aca="false">IF(AND(A7&gt;=Impostazioni!$B$4,A7&lt;=Impostazioni!$B$5),1,0)</f>
        <v>1</v>
      </c>
      <c r="D7" s="77" t="n">
        <f aca="false">IF(COUNTIF(Impostazioni!$A$27:$A$56,A7)&gt;0,1,0)</f>
        <v>0</v>
      </c>
      <c r="E7" s="77" t="n">
        <f aca="false">IF(COUNTIFS(Impostazioni!$A$16:$A$23,"&lt;="&amp;A7,Impostazioni!$B$16:$B$23,"&gt;="&amp;A7)&gt;0,1,0)</f>
        <v>0</v>
      </c>
      <c r="F7" s="77" t="n">
        <f aca="false">IF(AND(C7=1,D7=0,E7=0),1,0)</f>
        <v>1</v>
      </c>
      <c r="G7" s="77" t="n">
        <f aca="false">(YEAR(A7)-YEAR(Impostazioni!$B$11))*12+MONTH(A7)-MONTH(Impostazioni!$B$11)</f>
        <v>0</v>
      </c>
      <c r="H7" s="77" t="n">
        <f aca="false">INT((DAY(A7)-1+WEEKDAY(DATE(YEAR(A7),MONTH(A7),1),2)-1)/7)</f>
        <v>1</v>
      </c>
      <c r="I7" s="77" t="str">
        <f aca="false">IF(G7&gt;11,"",INDEX(Calendario!$A$14:$G$193,4+15*G7+2*H7,WEEKDAY(A7,2))&amp;"")</f>
        <v/>
      </c>
      <c r="J7" s="77" t="n">
        <f aca="false">IF(AND(F7=1,I7="A"),1,0)</f>
        <v>0</v>
      </c>
      <c r="K7" s="77" t="n">
        <f aca="false">IF(AND(F7=1,I7="G"),1,0)</f>
        <v>0</v>
      </c>
      <c r="L7" s="77" t="n">
        <f aca="false">IF(AND(F7=1,A7&gt;=Impostazioni!$B$8),1,0)</f>
        <v>1</v>
      </c>
      <c r="M7" s="77" t="n">
        <f aca="false">IF(C7=0,3,IF(OR(D7=1,E7=1),2,IF(WEEKDAY(A7,2)&gt;5,1,0)))</f>
        <v>0</v>
      </c>
      <c r="N7" s="77" t="str">
        <f aca="false">IF(OR(I7="A",I7="G"),MAX(N$1:N6)+1,"")</f>
        <v/>
      </c>
    </row>
    <row r="8" customFormat="false" ht="15" hidden="false" customHeight="false" outlineLevel="0" collapsed="false">
      <c r="A8" s="75" t="n">
        <f aca="false">A7+1</f>
        <v>46302</v>
      </c>
      <c r="B8" s="76" t="n">
        <f aca="false">DATE(YEAR(A8),MONTH(A8),1)</f>
        <v>46296</v>
      </c>
      <c r="C8" s="77" t="n">
        <f aca="false">IF(AND(A8&gt;=Impostazioni!$B$4,A8&lt;=Impostazioni!$B$5),1,0)</f>
        <v>1</v>
      </c>
      <c r="D8" s="77" t="n">
        <f aca="false">IF(COUNTIF(Impostazioni!$A$27:$A$56,A8)&gt;0,1,0)</f>
        <v>0</v>
      </c>
      <c r="E8" s="77" t="n">
        <f aca="false">IF(COUNTIFS(Impostazioni!$A$16:$A$23,"&lt;="&amp;A8,Impostazioni!$B$16:$B$23,"&gt;="&amp;A8)&gt;0,1,0)</f>
        <v>0</v>
      </c>
      <c r="F8" s="77" t="n">
        <f aca="false">IF(AND(C8=1,D8=0,E8=0),1,0)</f>
        <v>1</v>
      </c>
      <c r="G8" s="77" t="n">
        <f aca="false">(YEAR(A8)-YEAR(Impostazioni!$B$11))*12+MONTH(A8)-MONTH(Impostazioni!$B$11)</f>
        <v>0</v>
      </c>
      <c r="H8" s="77" t="n">
        <f aca="false">INT((DAY(A8)-1+WEEKDAY(DATE(YEAR(A8),MONTH(A8),1),2)-1)/7)</f>
        <v>1</v>
      </c>
      <c r="I8" s="77" t="str">
        <f aca="false">IF(G8&gt;11,"",INDEX(Calendario!$A$14:$G$193,4+15*G8+2*H8,WEEKDAY(A8,2))&amp;"")</f>
        <v/>
      </c>
      <c r="J8" s="77" t="n">
        <f aca="false">IF(AND(F8=1,I8="A"),1,0)</f>
        <v>0</v>
      </c>
      <c r="K8" s="77" t="n">
        <f aca="false">IF(AND(F8=1,I8="G"),1,0)</f>
        <v>0</v>
      </c>
      <c r="L8" s="77" t="n">
        <f aca="false">IF(AND(F8=1,A8&gt;=Impostazioni!$B$8),1,0)</f>
        <v>1</v>
      </c>
      <c r="M8" s="77" t="n">
        <f aca="false">IF(C8=0,3,IF(OR(D8=1,E8=1),2,IF(WEEKDAY(A8,2)&gt;5,1,0)))</f>
        <v>0</v>
      </c>
      <c r="N8" s="77" t="str">
        <f aca="false">IF(OR(I8="A",I8="G"),MAX(N$1:N7)+1,"")</f>
        <v/>
      </c>
    </row>
    <row r="9" customFormat="false" ht="15" hidden="false" customHeight="false" outlineLevel="0" collapsed="false">
      <c r="A9" s="75" t="n">
        <f aca="false">A8+1</f>
        <v>46303</v>
      </c>
      <c r="B9" s="76" t="n">
        <f aca="false">DATE(YEAR(A9),MONTH(A9),1)</f>
        <v>46296</v>
      </c>
      <c r="C9" s="77" t="n">
        <f aca="false">IF(AND(A9&gt;=Impostazioni!$B$4,A9&lt;=Impostazioni!$B$5),1,0)</f>
        <v>1</v>
      </c>
      <c r="D9" s="77" t="n">
        <f aca="false">IF(COUNTIF(Impostazioni!$A$27:$A$56,A9)&gt;0,1,0)</f>
        <v>0</v>
      </c>
      <c r="E9" s="77" t="n">
        <f aca="false">IF(COUNTIFS(Impostazioni!$A$16:$A$23,"&lt;="&amp;A9,Impostazioni!$B$16:$B$23,"&gt;="&amp;A9)&gt;0,1,0)</f>
        <v>0</v>
      </c>
      <c r="F9" s="77" t="n">
        <f aca="false">IF(AND(C9=1,D9=0,E9=0),1,0)</f>
        <v>1</v>
      </c>
      <c r="G9" s="77" t="n">
        <f aca="false">(YEAR(A9)-YEAR(Impostazioni!$B$11))*12+MONTH(A9)-MONTH(Impostazioni!$B$11)</f>
        <v>0</v>
      </c>
      <c r="H9" s="77" t="n">
        <f aca="false">INT((DAY(A9)-1+WEEKDAY(DATE(YEAR(A9),MONTH(A9),1),2)-1)/7)</f>
        <v>1</v>
      </c>
      <c r="I9" s="77" t="str">
        <f aca="false">IF(G9&gt;11,"",INDEX(Calendario!$A$14:$G$193,4+15*G9+2*H9,WEEKDAY(A9,2))&amp;"")</f>
        <v/>
      </c>
      <c r="J9" s="77" t="n">
        <f aca="false">IF(AND(F9=1,I9="A"),1,0)</f>
        <v>0</v>
      </c>
      <c r="K9" s="77" t="n">
        <f aca="false">IF(AND(F9=1,I9="G"),1,0)</f>
        <v>0</v>
      </c>
      <c r="L9" s="77" t="n">
        <f aca="false">IF(AND(F9=1,A9&gt;=Impostazioni!$B$8),1,0)</f>
        <v>1</v>
      </c>
      <c r="M9" s="77" t="n">
        <f aca="false">IF(C9=0,3,IF(OR(D9=1,E9=1),2,IF(WEEKDAY(A9,2)&gt;5,1,0)))</f>
        <v>0</v>
      </c>
      <c r="N9" s="77" t="str">
        <f aca="false">IF(OR(I9="A",I9="G"),MAX(N$1:N8)+1,"")</f>
        <v/>
      </c>
    </row>
    <row r="10" customFormat="false" ht="15" hidden="false" customHeight="false" outlineLevel="0" collapsed="false">
      <c r="A10" s="75" t="n">
        <f aca="false">A9+1</f>
        <v>46304</v>
      </c>
      <c r="B10" s="76" t="n">
        <f aca="false">DATE(YEAR(A10),MONTH(A10),1)</f>
        <v>46296</v>
      </c>
      <c r="C10" s="77" t="n">
        <f aca="false">IF(AND(A10&gt;=Impostazioni!$B$4,A10&lt;=Impostazioni!$B$5),1,0)</f>
        <v>1</v>
      </c>
      <c r="D10" s="77" t="n">
        <f aca="false">IF(COUNTIF(Impostazioni!$A$27:$A$56,A10)&gt;0,1,0)</f>
        <v>0</v>
      </c>
      <c r="E10" s="77" t="n">
        <f aca="false">IF(COUNTIFS(Impostazioni!$A$16:$A$23,"&lt;="&amp;A10,Impostazioni!$B$16:$B$23,"&gt;="&amp;A10)&gt;0,1,0)</f>
        <v>0</v>
      </c>
      <c r="F10" s="77" t="n">
        <f aca="false">IF(AND(C10=1,D10=0,E10=0),1,0)</f>
        <v>1</v>
      </c>
      <c r="G10" s="77" t="n">
        <f aca="false">(YEAR(A10)-YEAR(Impostazioni!$B$11))*12+MONTH(A10)-MONTH(Impostazioni!$B$11)</f>
        <v>0</v>
      </c>
      <c r="H10" s="77" t="n">
        <f aca="false">INT((DAY(A10)-1+WEEKDAY(DATE(YEAR(A10),MONTH(A10),1),2)-1)/7)</f>
        <v>1</v>
      </c>
      <c r="I10" s="77" t="str">
        <f aca="false">IF(G10&gt;11,"",INDEX(Calendario!$A$14:$G$193,4+15*G10+2*H10,WEEKDAY(A10,2))&amp;"")</f>
        <v/>
      </c>
      <c r="J10" s="77" t="n">
        <f aca="false">IF(AND(F10=1,I10="A"),1,0)</f>
        <v>0</v>
      </c>
      <c r="K10" s="77" t="n">
        <f aca="false">IF(AND(F10=1,I10="G"),1,0)</f>
        <v>0</v>
      </c>
      <c r="L10" s="77" t="n">
        <f aca="false">IF(AND(F10=1,A10&gt;=Impostazioni!$B$8),1,0)</f>
        <v>1</v>
      </c>
      <c r="M10" s="77" t="n">
        <f aca="false">IF(C10=0,3,IF(OR(D10=1,E10=1),2,IF(WEEKDAY(A10,2)&gt;5,1,0)))</f>
        <v>0</v>
      </c>
      <c r="N10" s="77" t="str">
        <f aca="false">IF(OR(I10="A",I10="G"),MAX(N$1:N9)+1,"")</f>
        <v/>
      </c>
    </row>
    <row r="11" customFormat="false" ht="15" hidden="false" customHeight="false" outlineLevel="0" collapsed="false">
      <c r="A11" s="75" t="n">
        <f aca="false">A10+1</f>
        <v>46305</v>
      </c>
      <c r="B11" s="76" t="n">
        <f aca="false">DATE(YEAR(A11),MONTH(A11),1)</f>
        <v>46296</v>
      </c>
      <c r="C11" s="77" t="n">
        <f aca="false">IF(AND(A11&gt;=Impostazioni!$B$4,A11&lt;=Impostazioni!$B$5),1,0)</f>
        <v>1</v>
      </c>
      <c r="D11" s="77" t="n">
        <f aca="false">IF(COUNTIF(Impostazioni!$A$27:$A$56,A11)&gt;0,1,0)</f>
        <v>0</v>
      </c>
      <c r="E11" s="77" t="n">
        <f aca="false">IF(COUNTIFS(Impostazioni!$A$16:$A$23,"&lt;="&amp;A11,Impostazioni!$B$16:$B$23,"&gt;="&amp;A11)&gt;0,1,0)</f>
        <v>0</v>
      </c>
      <c r="F11" s="77" t="n">
        <f aca="false">IF(AND(C11=1,D11=0,E11=0),1,0)</f>
        <v>1</v>
      </c>
      <c r="G11" s="77" t="n">
        <f aca="false">(YEAR(A11)-YEAR(Impostazioni!$B$11))*12+MONTH(A11)-MONTH(Impostazioni!$B$11)</f>
        <v>0</v>
      </c>
      <c r="H11" s="77" t="n">
        <f aca="false">INT((DAY(A11)-1+WEEKDAY(DATE(YEAR(A11),MONTH(A11),1),2)-1)/7)</f>
        <v>1</v>
      </c>
      <c r="I11" s="77" t="str">
        <f aca="false">IF(G11&gt;11,"",INDEX(Calendario!$A$14:$G$193,4+15*G11+2*H11,WEEKDAY(A11,2))&amp;"")</f>
        <v/>
      </c>
      <c r="J11" s="77" t="n">
        <f aca="false">IF(AND(F11=1,I11="A"),1,0)</f>
        <v>0</v>
      </c>
      <c r="K11" s="77" t="n">
        <f aca="false">IF(AND(F11=1,I11="G"),1,0)</f>
        <v>0</v>
      </c>
      <c r="L11" s="77" t="n">
        <f aca="false">IF(AND(F11=1,A11&gt;=Impostazioni!$B$8),1,0)</f>
        <v>1</v>
      </c>
      <c r="M11" s="77" t="n">
        <f aca="false">IF(C11=0,3,IF(OR(D11=1,E11=1),2,IF(WEEKDAY(A11,2)&gt;5,1,0)))</f>
        <v>1</v>
      </c>
      <c r="N11" s="77" t="str">
        <f aca="false">IF(OR(I11="A",I11="G"),MAX(N$1:N10)+1,"")</f>
        <v/>
      </c>
    </row>
    <row r="12" customFormat="false" ht="15" hidden="false" customHeight="false" outlineLevel="0" collapsed="false">
      <c r="A12" s="75" t="n">
        <f aca="false">A11+1</f>
        <v>46306</v>
      </c>
      <c r="B12" s="76" t="n">
        <f aca="false">DATE(YEAR(A12),MONTH(A12),1)</f>
        <v>46296</v>
      </c>
      <c r="C12" s="77" t="n">
        <f aca="false">IF(AND(A12&gt;=Impostazioni!$B$4,A12&lt;=Impostazioni!$B$5),1,0)</f>
        <v>1</v>
      </c>
      <c r="D12" s="77" t="n">
        <f aca="false">IF(COUNTIF(Impostazioni!$A$27:$A$56,A12)&gt;0,1,0)</f>
        <v>0</v>
      </c>
      <c r="E12" s="77" t="n">
        <f aca="false">IF(COUNTIFS(Impostazioni!$A$16:$A$23,"&lt;="&amp;A12,Impostazioni!$B$16:$B$23,"&gt;="&amp;A12)&gt;0,1,0)</f>
        <v>0</v>
      </c>
      <c r="F12" s="77" t="n">
        <f aca="false">IF(AND(C12=1,D12=0,E12=0),1,0)</f>
        <v>1</v>
      </c>
      <c r="G12" s="77" t="n">
        <f aca="false">(YEAR(A12)-YEAR(Impostazioni!$B$11))*12+MONTH(A12)-MONTH(Impostazioni!$B$11)</f>
        <v>0</v>
      </c>
      <c r="H12" s="77" t="n">
        <f aca="false">INT((DAY(A12)-1+WEEKDAY(DATE(YEAR(A12),MONTH(A12),1),2)-1)/7)</f>
        <v>1</v>
      </c>
      <c r="I12" s="77" t="str">
        <f aca="false">IF(G12&gt;11,"",INDEX(Calendario!$A$14:$G$193,4+15*G12+2*H12,WEEKDAY(A12,2))&amp;"")</f>
        <v/>
      </c>
      <c r="J12" s="77" t="n">
        <f aca="false">IF(AND(F12=1,I12="A"),1,0)</f>
        <v>0</v>
      </c>
      <c r="K12" s="77" t="n">
        <f aca="false">IF(AND(F12=1,I12="G"),1,0)</f>
        <v>0</v>
      </c>
      <c r="L12" s="77" t="n">
        <f aca="false">IF(AND(F12=1,A12&gt;=Impostazioni!$B$8),1,0)</f>
        <v>1</v>
      </c>
      <c r="M12" s="77" t="n">
        <f aca="false">IF(C12=0,3,IF(OR(D12=1,E12=1),2,IF(WEEKDAY(A12,2)&gt;5,1,0)))</f>
        <v>1</v>
      </c>
      <c r="N12" s="77" t="str">
        <f aca="false">IF(OR(I12="A",I12="G"),MAX(N$1:N11)+1,"")</f>
        <v/>
      </c>
    </row>
    <row r="13" customFormat="false" ht="15" hidden="false" customHeight="false" outlineLevel="0" collapsed="false">
      <c r="A13" s="75" t="n">
        <f aca="false">A12+1</f>
        <v>46307</v>
      </c>
      <c r="B13" s="76" t="n">
        <f aca="false">DATE(YEAR(A13),MONTH(A13),1)</f>
        <v>46296</v>
      </c>
      <c r="C13" s="77" t="n">
        <f aca="false">IF(AND(A13&gt;=Impostazioni!$B$4,A13&lt;=Impostazioni!$B$5),1,0)</f>
        <v>1</v>
      </c>
      <c r="D13" s="77" t="n">
        <f aca="false">IF(COUNTIF(Impostazioni!$A$27:$A$56,A13)&gt;0,1,0)</f>
        <v>0</v>
      </c>
      <c r="E13" s="77" t="n">
        <f aca="false">IF(COUNTIFS(Impostazioni!$A$16:$A$23,"&lt;="&amp;A13,Impostazioni!$B$16:$B$23,"&gt;="&amp;A13)&gt;0,1,0)</f>
        <v>0</v>
      </c>
      <c r="F13" s="77" t="n">
        <f aca="false">IF(AND(C13=1,D13=0,E13=0),1,0)</f>
        <v>1</v>
      </c>
      <c r="G13" s="77" t="n">
        <f aca="false">(YEAR(A13)-YEAR(Impostazioni!$B$11))*12+MONTH(A13)-MONTH(Impostazioni!$B$11)</f>
        <v>0</v>
      </c>
      <c r="H13" s="77" t="n">
        <f aca="false">INT((DAY(A13)-1+WEEKDAY(DATE(YEAR(A13),MONTH(A13),1),2)-1)/7)</f>
        <v>2</v>
      </c>
      <c r="I13" s="77" t="str">
        <f aca="false">IF(G13&gt;11,"",INDEX(Calendario!$A$14:$G$193,4+15*G13+2*H13,WEEKDAY(A13,2))&amp;"")</f>
        <v/>
      </c>
      <c r="J13" s="77" t="n">
        <f aca="false">IF(AND(F13=1,I13="A"),1,0)</f>
        <v>0</v>
      </c>
      <c r="K13" s="77" t="n">
        <f aca="false">IF(AND(F13=1,I13="G"),1,0)</f>
        <v>0</v>
      </c>
      <c r="L13" s="77" t="n">
        <f aca="false">IF(AND(F13=1,A13&gt;=Impostazioni!$B$8),1,0)</f>
        <v>1</v>
      </c>
      <c r="M13" s="77" t="n">
        <f aca="false">IF(C13=0,3,IF(OR(D13=1,E13=1),2,IF(WEEKDAY(A13,2)&gt;5,1,0)))</f>
        <v>0</v>
      </c>
      <c r="N13" s="77" t="str">
        <f aca="false">IF(OR(I13="A",I13="G"),MAX(N$1:N12)+1,"")</f>
        <v/>
      </c>
    </row>
    <row r="14" customFormat="false" ht="15" hidden="false" customHeight="false" outlineLevel="0" collapsed="false">
      <c r="A14" s="75" t="n">
        <f aca="false">A13+1</f>
        <v>46308</v>
      </c>
      <c r="B14" s="76" t="n">
        <f aca="false">DATE(YEAR(A14),MONTH(A14),1)</f>
        <v>46296</v>
      </c>
      <c r="C14" s="77" t="n">
        <f aca="false">IF(AND(A14&gt;=Impostazioni!$B$4,A14&lt;=Impostazioni!$B$5),1,0)</f>
        <v>1</v>
      </c>
      <c r="D14" s="77" t="n">
        <f aca="false">IF(COUNTIF(Impostazioni!$A$27:$A$56,A14)&gt;0,1,0)</f>
        <v>0</v>
      </c>
      <c r="E14" s="77" t="n">
        <f aca="false">IF(COUNTIFS(Impostazioni!$A$16:$A$23,"&lt;="&amp;A14,Impostazioni!$B$16:$B$23,"&gt;="&amp;A14)&gt;0,1,0)</f>
        <v>0</v>
      </c>
      <c r="F14" s="77" t="n">
        <f aca="false">IF(AND(C14=1,D14=0,E14=0),1,0)</f>
        <v>1</v>
      </c>
      <c r="G14" s="77" t="n">
        <f aca="false">(YEAR(A14)-YEAR(Impostazioni!$B$11))*12+MONTH(A14)-MONTH(Impostazioni!$B$11)</f>
        <v>0</v>
      </c>
      <c r="H14" s="77" t="n">
        <f aca="false">INT((DAY(A14)-1+WEEKDAY(DATE(YEAR(A14),MONTH(A14),1),2)-1)/7)</f>
        <v>2</v>
      </c>
      <c r="I14" s="77" t="str">
        <f aca="false">IF(G14&gt;11,"",INDEX(Calendario!$A$14:$G$193,4+15*G14+2*H14,WEEKDAY(A14,2))&amp;"")</f>
        <v/>
      </c>
      <c r="J14" s="77" t="n">
        <f aca="false">IF(AND(F14=1,I14="A"),1,0)</f>
        <v>0</v>
      </c>
      <c r="K14" s="77" t="n">
        <f aca="false">IF(AND(F14=1,I14="G"),1,0)</f>
        <v>0</v>
      </c>
      <c r="L14" s="77" t="n">
        <f aca="false">IF(AND(F14=1,A14&gt;=Impostazioni!$B$8),1,0)</f>
        <v>1</v>
      </c>
      <c r="M14" s="77" t="n">
        <f aca="false">IF(C14=0,3,IF(OR(D14=1,E14=1),2,IF(WEEKDAY(A14,2)&gt;5,1,0)))</f>
        <v>0</v>
      </c>
      <c r="N14" s="77" t="str">
        <f aca="false">IF(OR(I14="A",I14="G"),MAX(N$1:N13)+1,"")</f>
        <v/>
      </c>
    </row>
    <row r="15" customFormat="false" ht="15" hidden="false" customHeight="false" outlineLevel="0" collapsed="false">
      <c r="A15" s="75" t="n">
        <f aca="false">A14+1</f>
        <v>46309</v>
      </c>
      <c r="B15" s="76" t="n">
        <f aca="false">DATE(YEAR(A15),MONTH(A15),1)</f>
        <v>46296</v>
      </c>
      <c r="C15" s="77" t="n">
        <f aca="false">IF(AND(A15&gt;=Impostazioni!$B$4,A15&lt;=Impostazioni!$B$5),1,0)</f>
        <v>1</v>
      </c>
      <c r="D15" s="77" t="n">
        <f aca="false">IF(COUNTIF(Impostazioni!$A$27:$A$56,A15)&gt;0,1,0)</f>
        <v>0</v>
      </c>
      <c r="E15" s="77" t="n">
        <f aca="false">IF(COUNTIFS(Impostazioni!$A$16:$A$23,"&lt;="&amp;A15,Impostazioni!$B$16:$B$23,"&gt;="&amp;A15)&gt;0,1,0)</f>
        <v>0</v>
      </c>
      <c r="F15" s="77" t="n">
        <f aca="false">IF(AND(C15=1,D15=0,E15=0),1,0)</f>
        <v>1</v>
      </c>
      <c r="G15" s="77" t="n">
        <f aca="false">(YEAR(A15)-YEAR(Impostazioni!$B$11))*12+MONTH(A15)-MONTH(Impostazioni!$B$11)</f>
        <v>0</v>
      </c>
      <c r="H15" s="77" t="n">
        <f aca="false">INT((DAY(A15)-1+WEEKDAY(DATE(YEAR(A15),MONTH(A15),1),2)-1)/7)</f>
        <v>2</v>
      </c>
      <c r="I15" s="77" t="str">
        <f aca="false">IF(G15&gt;11,"",INDEX(Calendario!$A$14:$G$193,4+15*G15+2*H15,WEEKDAY(A15,2))&amp;"")</f>
        <v/>
      </c>
      <c r="J15" s="77" t="n">
        <f aca="false">IF(AND(F15=1,I15="A"),1,0)</f>
        <v>0</v>
      </c>
      <c r="K15" s="77" t="n">
        <f aca="false">IF(AND(F15=1,I15="G"),1,0)</f>
        <v>0</v>
      </c>
      <c r="L15" s="77" t="n">
        <f aca="false">IF(AND(F15=1,A15&gt;=Impostazioni!$B$8),1,0)</f>
        <v>1</v>
      </c>
      <c r="M15" s="77" t="n">
        <f aca="false">IF(C15=0,3,IF(OR(D15=1,E15=1),2,IF(WEEKDAY(A15,2)&gt;5,1,0)))</f>
        <v>0</v>
      </c>
      <c r="N15" s="77" t="str">
        <f aca="false">IF(OR(I15="A",I15="G"),MAX(N$1:N14)+1,"")</f>
        <v/>
      </c>
    </row>
    <row r="16" customFormat="false" ht="15" hidden="false" customHeight="false" outlineLevel="0" collapsed="false">
      <c r="A16" s="75" t="n">
        <f aca="false">A15+1</f>
        <v>46310</v>
      </c>
      <c r="B16" s="76" t="n">
        <f aca="false">DATE(YEAR(A16),MONTH(A16),1)</f>
        <v>46296</v>
      </c>
      <c r="C16" s="77" t="n">
        <f aca="false">IF(AND(A16&gt;=Impostazioni!$B$4,A16&lt;=Impostazioni!$B$5),1,0)</f>
        <v>1</v>
      </c>
      <c r="D16" s="77" t="n">
        <f aca="false">IF(COUNTIF(Impostazioni!$A$27:$A$56,A16)&gt;0,1,0)</f>
        <v>0</v>
      </c>
      <c r="E16" s="77" t="n">
        <f aca="false">IF(COUNTIFS(Impostazioni!$A$16:$A$23,"&lt;="&amp;A16,Impostazioni!$B$16:$B$23,"&gt;="&amp;A16)&gt;0,1,0)</f>
        <v>0</v>
      </c>
      <c r="F16" s="77" t="n">
        <f aca="false">IF(AND(C16=1,D16=0,E16=0),1,0)</f>
        <v>1</v>
      </c>
      <c r="G16" s="77" t="n">
        <f aca="false">(YEAR(A16)-YEAR(Impostazioni!$B$11))*12+MONTH(A16)-MONTH(Impostazioni!$B$11)</f>
        <v>0</v>
      </c>
      <c r="H16" s="77" t="n">
        <f aca="false">INT((DAY(A16)-1+WEEKDAY(DATE(YEAR(A16),MONTH(A16),1),2)-1)/7)</f>
        <v>2</v>
      </c>
      <c r="I16" s="77" t="str">
        <f aca="false">IF(G16&gt;11,"",INDEX(Calendario!$A$14:$G$193,4+15*G16+2*H16,WEEKDAY(A16,2))&amp;"")</f>
        <v/>
      </c>
      <c r="J16" s="77" t="n">
        <f aca="false">IF(AND(F16=1,I16="A"),1,0)</f>
        <v>0</v>
      </c>
      <c r="K16" s="77" t="n">
        <f aca="false">IF(AND(F16=1,I16="G"),1,0)</f>
        <v>0</v>
      </c>
      <c r="L16" s="77" t="n">
        <f aca="false">IF(AND(F16=1,A16&gt;=Impostazioni!$B$8),1,0)</f>
        <v>1</v>
      </c>
      <c r="M16" s="77" t="n">
        <f aca="false">IF(C16=0,3,IF(OR(D16=1,E16=1),2,IF(WEEKDAY(A16,2)&gt;5,1,0)))</f>
        <v>0</v>
      </c>
      <c r="N16" s="77" t="str">
        <f aca="false">IF(OR(I16="A",I16="G"),MAX(N$1:N15)+1,"")</f>
        <v/>
      </c>
    </row>
    <row r="17" customFormat="false" ht="15" hidden="false" customHeight="false" outlineLevel="0" collapsed="false">
      <c r="A17" s="75" t="n">
        <f aca="false">A16+1</f>
        <v>46311</v>
      </c>
      <c r="B17" s="76" t="n">
        <f aca="false">DATE(YEAR(A17),MONTH(A17),1)</f>
        <v>46296</v>
      </c>
      <c r="C17" s="77" t="n">
        <f aca="false">IF(AND(A17&gt;=Impostazioni!$B$4,A17&lt;=Impostazioni!$B$5),1,0)</f>
        <v>1</v>
      </c>
      <c r="D17" s="77" t="n">
        <f aca="false">IF(COUNTIF(Impostazioni!$A$27:$A$56,A17)&gt;0,1,0)</f>
        <v>0</v>
      </c>
      <c r="E17" s="77" t="n">
        <f aca="false">IF(COUNTIFS(Impostazioni!$A$16:$A$23,"&lt;="&amp;A17,Impostazioni!$B$16:$B$23,"&gt;="&amp;A17)&gt;0,1,0)</f>
        <v>0</v>
      </c>
      <c r="F17" s="77" t="n">
        <f aca="false">IF(AND(C17=1,D17=0,E17=0),1,0)</f>
        <v>1</v>
      </c>
      <c r="G17" s="77" t="n">
        <f aca="false">(YEAR(A17)-YEAR(Impostazioni!$B$11))*12+MONTH(A17)-MONTH(Impostazioni!$B$11)</f>
        <v>0</v>
      </c>
      <c r="H17" s="77" t="n">
        <f aca="false">INT((DAY(A17)-1+WEEKDAY(DATE(YEAR(A17),MONTH(A17),1),2)-1)/7)</f>
        <v>2</v>
      </c>
      <c r="I17" s="77" t="str">
        <f aca="false">IF(G17&gt;11,"",INDEX(Calendario!$A$14:$G$193,4+15*G17+2*H17,WEEKDAY(A17,2))&amp;"")</f>
        <v/>
      </c>
      <c r="J17" s="77" t="n">
        <f aca="false">IF(AND(F17=1,I17="A"),1,0)</f>
        <v>0</v>
      </c>
      <c r="K17" s="77" t="n">
        <f aca="false">IF(AND(F17=1,I17="G"),1,0)</f>
        <v>0</v>
      </c>
      <c r="L17" s="77" t="n">
        <f aca="false">IF(AND(F17=1,A17&gt;=Impostazioni!$B$8),1,0)</f>
        <v>1</v>
      </c>
      <c r="M17" s="77" t="n">
        <f aca="false">IF(C17=0,3,IF(OR(D17=1,E17=1),2,IF(WEEKDAY(A17,2)&gt;5,1,0)))</f>
        <v>0</v>
      </c>
      <c r="N17" s="77" t="str">
        <f aca="false">IF(OR(I17="A",I17="G"),MAX(N$1:N16)+1,"")</f>
        <v/>
      </c>
    </row>
    <row r="18" customFormat="false" ht="15" hidden="false" customHeight="false" outlineLevel="0" collapsed="false">
      <c r="A18" s="75" t="n">
        <f aca="false">A17+1</f>
        <v>46312</v>
      </c>
      <c r="B18" s="76" t="n">
        <f aca="false">DATE(YEAR(A18),MONTH(A18),1)</f>
        <v>46296</v>
      </c>
      <c r="C18" s="77" t="n">
        <f aca="false">IF(AND(A18&gt;=Impostazioni!$B$4,A18&lt;=Impostazioni!$B$5),1,0)</f>
        <v>1</v>
      </c>
      <c r="D18" s="77" t="n">
        <f aca="false">IF(COUNTIF(Impostazioni!$A$27:$A$56,A18)&gt;0,1,0)</f>
        <v>0</v>
      </c>
      <c r="E18" s="77" t="n">
        <f aca="false">IF(COUNTIFS(Impostazioni!$A$16:$A$23,"&lt;="&amp;A18,Impostazioni!$B$16:$B$23,"&gt;="&amp;A18)&gt;0,1,0)</f>
        <v>0</v>
      </c>
      <c r="F18" s="77" t="n">
        <f aca="false">IF(AND(C18=1,D18=0,E18=0),1,0)</f>
        <v>1</v>
      </c>
      <c r="G18" s="77" t="n">
        <f aca="false">(YEAR(A18)-YEAR(Impostazioni!$B$11))*12+MONTH(A18)-MONTH(Impostazioni!$B$11)</f>
        <v>0</v>
      </c>
      <c r="H18" s="77" t="n">
        <f aca="false">INT((DAY(A18)-1+WEEKDAY(DATE(YEAR(A18),MONTH(A18),1),2)-1)/7)</f>
        <v>2</v>
      </c>
      <c r="I18" s="77" t="str">
        <f aca="false">IF(G18&gt;11,"",INDEX(Calendario!$A$14:$G$193,4+15*G18+2*H18,WEEKDAY(A18,2))&amp;"")</f>
        <v/>
      </c>
      <c r="J18" s="77" t="n">
        <f aca="false">IF(AND(F18=1,I18="A"),1,0)</f>
        <v>0</v>
      </c>
      <c r="K18" s="77" t="n">
        <f aca="false">IF(AND(F18=1,I18="G"),1,0)</f>
        <v>0</v>
      </c>
      <c r="L18" s="77" t="n">
        <f aca="false">IF(AND(F18=1,A18&gt;=Impostazioni!$B$8),1,0)</f>
        <v>1</v>
      </c>
      <c r="M18" s="77" t="n">
        <f aca="false">IF(C18=0,3,IF(OR(D18=1,E18=1),2,IF(WEEKDAY(A18,2)&gt;5,1,0)))</f>
        <v>1</v>
      </c>
      <c r="N18" s="77" t="str">
        <f aca="false">IF(OR(I18="A",I18="G"),MAX(N$1:N17)+1,"")</f>
        <v/>
      </c>
    </row>
    <row r="19" customFormat="false" ht="15" hidden="false" customHeight="false" outlineLevel="0" collapsed="false">
      <c r="A19" s="75" t="n">
        <f aca="false">A18+1</f>
        <v>46313</v>
      </c>
      <c r="B19" s="76" t="n">
        <f aca="false">DATE(YEAR(A19),MONTH(A19),1)</f>
        <v>46296</v>
      </c>
      <c r="C19" s="77" t="n">
        <f aca="false">IF(AND(A19&gt;=Impostazioni!$B$4,A19&lt;=Impostazioni!$B$5),1,0)</f>
        <v>1</v>
      </c>
      <c r="D19" s="77" t="n">
        <f aca="false">IF(COUNTIF(Impostazioni!$A$27:$A$56,A19)&gt;0,1,0)</f>
        <v>0</v>
      </c>
      <c r="E19" s="77" t="n">
        <f aca="false">IF(COUNTIFS(Impostazioni!$A$16:$A$23,"&lt;="&amp;A19,Impostazioni!$B$16:$B$23,"&gt;="&amp;A19)&gt;0,1,0)</f>
        <v>0</v>
      </c>
      <c r="F19" s="77" t="n">
        <f aca="false">IF(AND(C19=1,D19=0,E19=0),1,0)</f>
        <v>1</v>
      </c>
      <c r="G19" s="77" t="n">
        <f aca="false">(YEAR(A19)-YEAR(Impostazioni!$B$11))*12+MONTH(A19)-MONTH(Impostazioni!$B$11)</f>
        <v>0</v>
      </c>
      <c r="H19" s="77" t="n">
        <f aca="false">INT((DAY(A19)-1+WEEKDAY(DATE(YEAR(A19),MONTH(A19),1),2)-1)/7)</f>
        <v>2</v>
      </c>
      <c r="I19" s="77" t="str">
        <f aca="false">IF(G19&gt;11,"",INDEX(Calendario!$A$14:$G$193,4+15*G19+2*H19,WEEKDAY(A19,2))&amp;"")</f>
        <v/>
      </c>
      <c r="J19" s="77" t="n">
        <f aca="false">IF(AND(F19=1,I19="A"),1,0)</f>
        <v>0</v>
      </c>
      <c r="K19" s="77" t="n">
        <f aca="false">IF(AND(F19=1,I19="G"),1,0)</f>
        <v>0</v>
      </c>
      <c r="L19" s="77" t="n">
        <f aca="false">IF(AND(F19=1,A19&gt;=Impostazioni!$B$8),1,0)</f>
        <v>1</v>
      </c>
      <c r="M19" s="77" t="n">
        <f aca="false">IF(C19=0,3,IF(OR(D19=1,E19=1),2,IF(WEEKDAY(A19,2)&gt;5,1,0)))</f>
        <v>1</v>
      </c>
      <c r="N19" s="77" t="str">
        <f aca="false">IF(OR(I19="A",I19="G"),MAX(N$1:N18)+1,"")</f>
        <v/>
      </c>
    </row>
    <row r="20" customFormat="false" ht="15" hidden="false" customHeight="false" outlineLevel="0" collapsed="false">
      <c r="A20" s="75" t="n">
        <f aca="false">A19+1</f>
        <v>46314</v>
      </c>
      <c r="B20" s="76" t="n">
        <f aca="false">DATE(YEAR(A20),MONTH(A20),1)</f>
        <v>46296</v>
      </c>
      <c r="C20" s="77" t="n">
        <f aca="false">IF(AND(A20&gt;=Impostazioni!$B$4,A20&lt;=Impostazioni!$B$5),1,0)</f>
        <v>1</v>
      </c>
      <c r="D20" s="77" t="n">
        <f aca="false">IF(COUNTIF(Impostazioni!$A$27:$A$56,A20)&gt;0,1,0)</f>
        <v>0</v>
      </c>
      <c r="E20" s="77" t="n">
        <f aca="false">IF(COUNTIFS(Impostazioni!$A$16:$A$23,"&lt;="&amp;A20,Impostazioni!$B$16:$B$23,"&gt;="&amp;A20)&gt;0,1,0)</f>
        <v>0</v>
      </c>
      <c r="F20" s="77" t="n">
        <f aca="false">IF(AND(C20=1,D20=0,E20=0),1,0)</f>
        <v>1</v>
      </c>
      <c r="G20" s="77" t="n">
        <f aca="false">(YEAR(A20)-YEAR(Impostazioni!$B$11))*12+MONTH(A20)-MONTH(Impostazioni!$B$11)</f>
        <v>0</v>
      </c>
      <c r="H20" s="77" t="n">
        <f aca="false">INT((DAY(A20)-1+WEEKDAY(DATE(YEAR(A20),MONTH(A20),1),2)-1)/7)</f>
        <v>3</v>
      </c>
      <c r="I20" s="77" t="str">
        <f aca="false">IF(G20&gt;11,"",INDEX(Calendario!$A$14:$G$193,4+15*G20+2*H20,WEEKDAY(A20,2))&amp;"")</f>
        <v/>
      </c>
      <c r="J20" s="77" t="n">
        <f aca="false">IF(AND(F20=1,I20="A"),1,0)</f>
        <v>0</v>
      </c>
      <c r="K20" s="77" t="n">
        <f aca="false">IF(AND(F20=1,I20="G"),1,0)</f>
        <v>0</v>
      </c>
      <c r="L20" s="77" t="n">
        <f aca="false">IF(AND(F20=1,A20&gt;=Impostazioni!$B$8),1,0)</f>
        <v>1</v>
      </c>
      <c r="M20" s="77" t="n">
        <f aca="false">IF(C20=0,3,IF(OR(D20=1,E20=1),2,IF(WEEKDAY(A20,2)&gt;5,1,0)))</f>
        <v>0</v>
      </c>
      <c r="N20" s="77" t="str">
        <f aca="false">IF(OR(I20="A",I20="G"),MAX(N$1:N19)+1,"")</f>
        <v/>
      </c>
    </row>
    <row r="21" customFormat="false" ht="15" hidden="false" customHeight="false" outlineLevel="0" collapsed="false">
      <c r="A21" s="75" t="n">
        <f aca="false">A20+1</f>
        <v>46315</v>
      </c>
      <c r="B21" s="76" t="n">
        <f aca="false">DATE(YEAR(A21),MONTH(A21),1)</f>
        <v>46296</v>
      </c>
      <c r="C21" s="77" t="n">
        <f aca="false">IF(AND(A21&gt;=Impostazioni!$B$4,A21&lt;=Impostazioni!$B$5),1,0)</f>
        <v>1</v>
      </c>
      <c r="D21" s="77" t="n">
        <f aca="false">IF(COUNTIF(Impostazioni!$A$27:$A$56,A21)&gt;0,1,0)</f>
        <v>0</v>
      </c>
      <c r="E21" s="77" t="n">
        <f aca="false">IF(COUNTIFS(Impostazioni!$A$16:$A$23,"&lt;="&amp;A21,Impostazioni!$B$16:$B$23,"&gt;="&amp;A21)&gt;0,1,0)</f>
        <v>0</v>
      </c>
      <c r="F21" s="77" t="n">
        <f aca="false">IF(AND(C21=1,D21=0,E21=0),1,0)</f>
        <v>1</v>
      </c>
      <c r="G21" s="77" t="n">
        <f aca="false">(YEAR(A21)-YEAR(Impostazioni!$B$11))*12+MONTH(A21)-MONTH(Impostazioni!$B$11)</f>
        <v>0</v>
      </c>
      <c r="H21" s="77" t="n">
        <f aca="false">INT((DAY(A21)-1+WEEKDAY(DATE(YEAR(A21),MONTH(A21),1),2)-1)/7)</f>
        <v>3</v>
      </c>
      <c r="I21" s="77" t="str">
        <f aca="false">IF(G21&gt;11,"",INDEX(Calendario!$A$14:$G$193,4+15*G21+2*H21,WEEKDAY(A21,2))&amp;"")</f>
        <v/>
      </c>
      <c r="J21" s="77" t="n">
        <f aca="false">IF(AND(F21=1,I21="A"),1,0)</f>
        <v>0</v>
      </c>
      <c r="K21" s="77" t="n">
        <f aca="false">IF(AND(F21=1,I21="G"),1,0)</f>
        <v>0</v>
      </c>
      <c r="L21" s="77" t="n">
        <f aca="false">IF(AND(F21=1,A21&gt;=Impostazioni!$B$8),1,0)</f>
        <v>1</v>
      </c>
      <c r="M21" s="77" t="n">
        <f aca="false">IF(C21=0,3,IF(OR(D21=1,E21=1),2,IF(WEEKDAY(A21,2)&gt;5,1,0)))</f>
        <v>0</v>
      </c>
      <c r="N21" s="77" t="str">
        <f aca="false">IF(OR(I21="A",I21="G"),MAX(N$1:N20)+1,"")</f>
        <v/>
      </c>
    </row>
    <row r="22" customFormat="false" ht="15" hidden="false" customHeight="false" outlineLevel="0" collapsed="false">
      <c r="A22" s="75" t="n">
        <f aca="false">A21+1</f>
        <v>46316</v>
      </c>
      <c r="B22" s="76" t="n">
        <f aca="false">DATE(YEAR(A22),MONTH(A22),1)</f>
        <v>46296</v>
      </c>
      <c r="C22" s="77" t="n">
        <f aca="false">IF(AND(A22&gt;=Impostazioni!$B$4,A22&lt;=Impostazioni!$B$5),1,0)</f>
        <v>1</v>
      </c>
      <c r="D22" s="77" t="n">
        <f aca="false">IF(COUNTIF(Impostazioni!$A$27:$A$56,A22)&gt;0,1,0)</f>
        <v>0</v>
      </c>
      <c r="E22" s="77" t="n">
        <f aca="false">IF(COUNTIFS(Impostazioni!$A$16:$A$23,"&lt;="&amp;A22,Impostazioni!$B$16:$B$23,"&gt;="&amp;A22)&gt;0,1,0)</f>
        <v>0</v>
      </c>
      <c r="F22" s="77" t="n">
        <f aca="false">IF(AND(C22=1,D22=0,E22=0),1,0)</f>
        <v>1</v>
      </c>
      <c r="G22" s="77" t="n">
        <f aca="false">(YEAR(A22)-YEAR(Impostazioni!$B$11))*12+MONTH(A22)-MONTH(Impostazioni!$B$11)</f>
        <v>0</v>
      </c>
      <c r="H22" s="77" t="n">
        <f aca="false">INT((DAY(A22)-1+WEEKDAY(DATE(YEAR(A22),MONTH(A22),1),2)-1)/7)</f>
        <v>3</v>
      </c>
      <c r="I22" s="77" t="str">
        <f aca="false">IF(G22&gt;11,"",INDEX(Calendario!$A$14:$G$193,4+15*G22+2*H22,WEEKDAY(A22,2))&amp;"")</f>
        <v/>
      </c>
      <c r="J22" s="77" t="n">
        <f aca="false">IF(AND(F22=1,I22="A"),1,0)</f>
        <v>0</v>
      </c>
      <c r="K22" s="77" t="n">
        <f aca="false">IF(AND(F22=1,I22="G"),1,0)</f>
        <v>0</v>
      </c>
      <c r="L22" s="77" t="n">
        <f aca="false">IF(AND(F22=1,A22&gt;=Impostazioni!$B$8),1,0)</f>
        <v>1</v>
      </c>
      <c r="M22" s="77" t="n">
        <f aca="false">IF(C22=0,3,IF(OR(D22=1,E22=1),2,IF(WEEKDAY(A22,2)&gt;5,1,0)))</f>
        <v>0</v>
      </c>
      <c r="N22" s="77" t="str">
        <f aca="false">IF(OR(I22="A",I22="G"),MAX(N$1:N21)+1,"")</f>
        <v/>
      </c>
    </row>
    <row r="23" customFormat="false" ht="15" hidden="false" customHeight="false" outlineLevel="0" collapsed="false">
      <c r="A23" s="75" t="n">
        <f aca="false">A22+1</f>
        <v>46317</v>
      </c>
      <c r="B23" s="76" t="n">
        <f aca="false">DATE(YEAR(A23),MONTH(A23),1)</f>
        <v>46296</v>
      </c>
      <c r="C23" s="77" t="n">
        <f aca="false">IF(AND(A23&gt;=Impostazioni!$B$4,A23&lt;=Impostazioni!$B$5),1,0)</f>
        <v>1</v>
      </c>
      <c r="D23" s="77" t="n">
        <f aca="false">IF(COUNTIF(Impostazioni!$A$27:$A$56,A23)&gt;0,1,0)</f>
        <v>0</v>
      </c>
      <c r="E23" s="77" t="n">
        <f aca="false">IF(COUNTIFS(Impostazioni!$A$16:$A$23,"&lt;="&amp;A23,Impostazioni!$B$16:$B$23,"&gt;="&amp;A23)&gt;0,1,0)</f>
        <v>0</v>
      </c>
      <c r="F23" s="77" t="n">
        <f aca="false">IF(AND(C23=1,D23=0,E23=0),1,0)</f>
        <v>1</v>
      </c>
      <c r="G23" s="77" t="n">
        <f aca="false">(YEAR(A23)-YEAR(Impostazioni!$B$11))*12+MONTH(A23)-MONTH(Impostazioni!$B$11)</f>
        <v>0</v>
      </c>
      <c r="H23" s="77" t="n">
        <f aca="false">INT((DAY(A23)-1+WEEKDAY(DATE(YEAR(A23),MONTH(A23),1),2)-1)/7)</f>
        <v>3</v>
      </c>
      <c r="I23" s="77" t="str">
        <f aca="false">IF(G23&gt;11,"",INDEX(Calendario!$A$14:$G$193,4+15*G23+2*H23,WEEKDAY(A23,2))&amp;"")</f>
        <v/>
      </c>
      <c r="J23" s="77" t="n">
        <f aca="false">IF(AND(F23=1,I23="A"),1,0)</f>
        <v>0</v>
      </c>
      <c r="K23" s="77" t="n">
        <f aca="false">IF(AND(F23=1,I23="G"),1,0)</f>
        <v>0</v>
      </c>
      <c r="L23" s="77" t="n">
        <f aca="false">IF(AND(F23=1,A23&gt;=Impostazioni!$B$8),1,0)</f>
        <v>1</v>
      </c>
      <c r="M23" s="77" t="n">
        <f aca="false">IF(C23=0,3,IF(OR(D23=1,E23=1),2,IF(WEEKDAY(A23,2)&gt;5,1,0)))</f>
        <v>0</v>
      </c>
      <c r="N23" s="77" t="str">
        <f aca="false">IF(OR(I23="A",I23="G"),MAX(N$1:N22)+1,"")</f>
        <v/>
      </c>
    </row>
    <row r="24" customFormat="false" ht="15" hidden="false" customHeight="false" outlineLevel="0" collapsed="false">
      <c r="A24" s="75" t="n">
        <f aca="false">A23+1</f>
        <v>46318</v>
      </c>
      <c r="B24" s="76" t="n">
        <f aca="false">DATE(YEAR(A24),MONTH(A24),1)</f>
        <v>46296</v>
      </c>
      <c r="C24" s="77" t="n">
        <f aca="false">IF(AND(A24&gt;=Impostazioni!$B$4,A24&lt;=Impostazioni!$B$5),1,0)</f>
        <v>1</v>
      </c>
      <c r="D24" s="77" t="n">
        <f aca="false">IF(COUNTIF(Impostazioni!$A$27:$A$56,A24)&gt;0,1,0)</f>
        <v>0</v>
      </c>
      <c r="E24" s="77" t="n">
        <f aca="false">IF(COUNTIFS(Impostazioni!$A$16:$A$23,"&lt;="&amp;A24,Impostazioni!$B$16:$B$23,"&gt;="&amp;A24)&gt;0,1,0)</f>
        <v>0</v>
      </c>
      <c r="F24" s="77" t="n">
        <f aca="false">IF(AND(C24=1,D24=0,E24=0),1,0)</f>
        <v>1</v>
      </c>
      <c r="G24" s="77" t="n">
        <f aca="false">(YEAR(A24)-YEAR(Impostazioni!$B$11))*12+MONTH(A24)-MONTH(Impostazioni!$B$11)</f>
        <v>0</v>
      </c>
      <c r="H24" s="77" t="n">
        <f aca="false">INT((DAY(A24)-1+WEEKDAY(DATE(YEAR(A24),MONTH(A24),1),2)-1)/7)</f>
        <v>3</v>
      </c>
      <c r="I24" s="77" t="str">
        <f aca="false">IF(G24&gt;11,"",INDEX(Calendario!$A$14:$G$193,4+15*G24+2*H24,WEEKDAY(A24,2))&amp;"")</f>
        <v/>
      </c>
      <c r="J24" s="77" t="n">
        <f aca="false">IF(AND(F24=1,I24="A"),1,0)</f>
        <v>0</v>
      </c>
      <c r="K24" s="77" t="n">
        <f aca="false">IF(AND(F24=1,I24="G"),1,0)</f>
        <v>0</v>
      </c>
      <c r="L24" s="77" t="n">
        <f aca="false">IF(AND(F24=1,A24&gt;=Impostazioni!$B$8),1,0)</f>
        <v>1</v>
      </c>
      <c r="M24" s="77" t="n">
        <f aca="false">IF(C24=0,3,IF(OR(D24=1,E24=1),2,IF(WEEKDAY(A24,2)&gt;5,1,0)))</f>
        <v>0</v>
      </c>
      <c r="N24" s="77" t="str">
        <f aca="false">IF(OR(I24="A",I24="G"),MAX(N$1:N23)+1,"")</f>
        <v/>
      </c>
    </row>
    <row r="25" customFormat="false" ht="15" hidden="false" customHeight="false" outlineLevel="0" collapsed="false">
      <c r="A25" s="75" t="n">
        <f aca="false">A24+1</f>
        <v>46319</v>
      </c>
      <c r="B25" s="76" t="n">
        <f aca="false">DATE(YEAR(A25),MONTH(A25),1)</f>
        <v>46296</v>
      </c>
      <c r="C25" s="77" t="n">
        <f aca="false">IF(AND(A25&gt;=Impostazioni!$B$4,A25&lt;=Impostazioni!$B$5),1,0)</f>
        <v>1</v>
      </c>
      <c r="D25" s="77" t="n">
        <f aca="false">IF(COUNTIF(Impostazioni!$A$27:$A$56,A25)&gt;0,1,0)</f>
        <v>0</v>
      </c>
      <c r="E25" s="77" t="n">
        <f aca="false">IF(COUNTIFS(Impostazioni!$A$16:$A$23,"&lt;="&amp;A25,Impostazioni!$B$16:$B$23,"&gt;="&amp;A25)&gt;0,1,0)</f>
        <v>0</v>
      </c>
      <c r="F25" s="77" t="n">
        <f aca="false">IF(AND(C25=1,D25=0,E25=0),1,0)</f>
        <v>1</v>
      </c>
      <c r="G25" s="77" t="n">
        <f aca="false">(YEAR(A25)-YEAR(Impostazioni!$B$11))*12+MONTH(A25)-MONTH(Impostazioni!$B$11)</f>
        <v>0</v>
      </c>
      <c r="H25" s="77" t="n">
        <f aca="false">INT((DAY(A25)-1+WEEKDAY(DATE(YEAR(A25),MONTH(A25),1),2)-1)/7)</f>
        <v>3</v>
      </c>
      <c r="I25" s="77" t="str">
        <f aca="false">IF(G25&gt;11,"",INDEX(Calendario!$A$14:$G$193,4+15*G25+2*H25,WEEKDAY(A25,2))&amp;"")</f>
        <v/>
      </c>
      <c r="J25" s="77" t="n">
        <f aca="false">IF(AND(F25=1,I25="A"),1,0)</f>
        <v>0</v>
      </c>
      <c r="K25" s="77" t="n">
        <f aca="false">IF(AND(F25=1,I25="G"),1,0)</f>
        <v>0</v>
      </c>
      <c r="L25" s="77" t="n">
        <f aca="false">IF(AND(F25=1,A25&gt;=Impostazioni!$B$8),1,0)</f>
        <v>1</v>
      </c>
      <c r="M25" s="77" t="n">
        <f aca="false">IF(C25=0,3,IF(OR(D25=1,E25=1),2,IF(WEEKDAY(A25,2)&gt;5,1,0)))</f>
        <v>1</v>
      </c>
      <c r="N25" s="77" t="str">
        <f aca="false">IF(OR(I25="A",I25="G"),MAX(N$1:N24)+1,"")</f>
        <v/>
      </c>
    </row>
    <row r="26" customFormat="false" ht="15" hidden="false" customHeight="false" outlineLevel="0" collapsed="false">
      <c r="A26" s="75" t="n">
        <f aca="false">A25+1</f>
        <v>46320</v>
      </c>
      <c r="B26" s="76" t="n">
        <f aca="false">DATE(YEAR(A26),MONTH(A26),1)</f>
        <v>46296</v>
      </c>
      <c r="C26" s="77" t="n">
        <f aca="false">IF(AND(A26&gt;=Impostazioni!$B$4,A26&lt;=Impostazioni!$B$5),1,0)</f>
        <v>1</v>
      </c>
      <c r="D26" s="77" t="n">
        <f aca="false">IF(COUNTIF(Impostazioni!$A$27:$A$56,A26)&gt;0,1,0)</f>
        <v>0</v>
      </c>
      <c r="E26" s="77" t="n">
        <f aca="false">IF(COUNTIFS(Impostazioni!$A$16:$A$23,"&lt;="&amp;A26,Impostazioni!$B$16:$B$23,"&gt;="&amp;A26)&gt;0,1,0)</f>
        <v>0</v>
      </c>
      <c r="F26" s="77" t="n">
        <f aca="false">IF(AND(C26=1,D26=0,E26=0),1,0)</f>
        <v>1</v>
      </c>
      <c r="G26" s="77" t="n">
        <f aca="false">(YEAR(A26)-YEAR(Impostazioni!$B$11))*12+MONTH(A26)-MONTH(Impostazioni!$B$11)</f>
        <v>0</v>
      </c>
      <c r="H26" s="77" t="n">
        <f aca="false">INT((DAY(A26)-1+WEEKDAY(DATE(YEAR(A26),MONTH(A26),1),2)-1)/7)</f>
        <v>3</v>
      </c>
      <c r="I26" s="77" t="str">
        <f aca="false">IF(G26&gt;11,"",INDEX(Calendario!$A$14:$G$193,4+15*G26+2*H26,WEEKDAY(A26,2))&amp;"")</f>
        <v/>
      </c>
      <c r="J26" s="77" t="n">
        <f aca="false">IF(AND(F26=1,I26="A"),1,0)</f>
        <v>0</v>
      </c>
      <c r="K26" s="77" t="n">
        <f aca="false">IF(AND(F26=1,I26="G"),1,0)</f>
        <v>0</v>
      </c>
      <c r="L26" s="77" t="n">
        <f aca="false">IF(AND(F26=1,A26&gt;=Impostazioni!$B$8),1,0)</f>
        <v>1</v>
      </c>
      <c r="M26" s="77" t="n">
        <f aca="false">IF(C26=0,3,IF(OR(D26=1,E26=1),2,IF(WEEKDAY(A26,2)&gt;5,1,0)))</f>
        <v>1</v>
      </c>
      <c r="N26" s="77" t="str">
        <f aca="false">IF(OR(I26="A",I26="G"),MAX(N$1:N25)+1,"")</f>
        <v/>
      </c>
    </row>
    <row r="27" customFormat="false" ht="15" hidden="false" customHeight="false" outlineLevel="0" collapsed="false">
      <c r="A27" s="75" t="n">
        <f aca="false">A26+1</f>
        <v>46321</v>
      </c>
      <c r="B27" s="76" t="n">
        <f aca="false">DATE(YEAR(A27),MONTH(A27),1)</f>
        <v>46296</v>
      </c>
      <c r="C27" s="77" t="n">
        <f aca="false">IF(AND(A27&gt;=Impostazioni!$B$4,A27&lt;=Impostazioni!$B$5),1,0)</f>
        <v>1</v>
      </c>
      <c r="D27" s="77" t="n">
        <f aca="false">IF(COUNTIF(Impostazioni!$A$27:$A$56,A27)&gt;0,1,0)</f>
        <v>0</v>
      </c>
      <c r="E27" s="77" t="n">
        <f aca="false">IF(COUNTIFS(Impostazioni!$A$16:$A$23,"&lt;="&amp;A27,Impostazioni!$B$16:$B$23,"&gt;="&amp;A27)&gt;0,1,0)</f>
        <v>0</v>
      </c>
      <c r="F27" s="77" t="n">
        <f aca="false">IF(AND(C27=1,D27=0,E27=0),1,0)</f>
        <v>1</v>
      </c>
      <c r="G27" s="77" t="n">
        <f aca="false">(YEAR(A27)-YEAR(Impostazioni!$B$11))*12+MONTH(A27)-MONTH(Impostazioni!$B$11)</f>
        <v>0</v>
      </c>
      <c r="H27" s="77" t="n">
        <f aca="false">INT((DAY(A27)-1+WEEKDAY(DATE(YEAR(A27),MONTH(A27),1),2)-1)/7)</f>
        <v>4</v>
      </c>
      <c r="I27" s="77" t="str">
        <f aca="false">IF(G27&gt;11,"",INDEX(Calendario!$A$14:$G$193,4+15*G27+2*H27,WEEKDAY(A27,2))&amp;"")</f>
        <v/>
      </c>
      <c r="J27" s="77" t="n">
        <f aca="false">IF(AND(F27=1,I27="A"),1,0)</f>
        <v>0</v>
      </c>
      <c r="K27" s="77" t="n">
        <f aca="false">IF(AND(F27=1,I27="G"),1,0)</f>
        <v>0</v>
      </c>
      <c r="L27" s="77" t="n">
        <f aca="false">IF(AND(F27=1,A27&gt;=Impostazioni!$B$8),1,0)</f>
        <v>1</v>
      </c>
      <c r="M27" s="77" t="n">
        <f aca="false">IF(C27=0,3,IF(OR(D27=1,E27=1),2,IF(WEEKDAY(A27,2)&gt;5,1,0)))</f>
        <v>0</v>
      </c>
      <c r="N27" s="77" t="str">
        <f aca="false">IF(OR(I27="A",I27="G"),MAX(N$1:N26)+1,"")</f>
        <v/>
      </c>
    </row>
    <row r="28" customFormat="false" ht="15" hidden="false" customHeight="false" outlineLevel="0" collapsed="false">
      <c r="A28" s="75" t="n">
        <f aca="false">A27+1</f>
        <v>46322</v>
      </c>
      <c r="B28" s="76" t="n">
        <f aca="false">DATE(YEAR(A28),MONTH(A28),1)</f>
        <v>46296</v>
      </c>
      <c r="C28" s="77" t="n">
        <f aca="false">IF(AND(A28&gt;=Impostazioni!$B$4,A28&lt;=Impostazioni!$B$5),1,0)</f>
        <v>1</v>
      </c>
      <c r="D28" s="77" t="n">
        <f aca="false">IF(COUNTIF(Impostazioni!$A$27:$A$56,A28)&gt;0,1,0)</f>
        <v>0</v>
      </c>
      <c r="E28" s="77" t="n">
        <f aca="false">IF(COUNTIFS(Impostazioni!$A$16:$A$23,"&lt;="&amp;A28,Impostazioni!$B$16:$B$23,"&gt;="&amp;A28)&gt;0,1,0)</f>
        <v>0</v>
      </c>
      <c r="F28" s="77" t="n">
        <f aca="false">IF(AND(C28=1,D28=0,E28=0),1,0)</f>
        <v>1</v>
      </c>
      <c r="G28" s="77" t="n">
        <f aca="false">(YEAR(A28)-YEAR(Impostazioni!$B$11))*12+MONTH(A28)-MONTH(Impostazioni!$B$11)</f>
        <v>0</v>
      </c>
      <c r="H28" s="77" t="n">
        <f aca="false">INT((DAY(A28)-1+WEEKDAY(DATE(YEAR(A28),MONTH(A28),1),2)-1)/7)</f>
        <v>4</v>
      </c>
      <c r="I28" s="77" t="str">
        <f aca="false">IF(G28&gt;11,"",INDEX(Calendario!$A$14:$G$193,4+15*G28+2*H28,WEEKDAY(A28,2))&amp;"")</f>
        <v/>
      </c>
      <c r="J28" s="77" t="n">
        <f aca="false">IF(AND(F28=1,I28="A"),1,0)</f>
        <v>0</v>
      </c>
      <c r="K28" s="77" t="n">
        <f aca="false">IF(AND(F28=1,I28="G"),1,0)</f>
        <v>0</v>
      </c>
      <c r="L28" s="77" t="n">
        <f aca="false">IF(AND(F28=1,A28&gt;=Impostazioni!$B$8),1,0)</f>
        <v>1</v>
      </c>
      <c r="M28" s="77" t="n">
        <f aca="false">IF(C28=0,3,IF(OR(D28=1,E28=1),2,IF(WEEKDAY(A28,2)&gt;5,1,0)))</f>
        <v>0</v>
      </c>
      <c r="N28" s="77" t="str">
        <f aca="false">IF(OR(I28="A",I28="G"),MAX(N$1:N27)+1,"")</f>
        <v/>
      </c>
    </row>
    <row r="29" customFormat="false" ht="15" hidden="false" customHeight="false" outlineLevel="0" collapsed="false">
      <c r="A29" s="75" t="n">
        <f aca="false">A28+1</f>
        <v>46323</v>
      </c>
      <c r="B29" s="76" t="n">
        <f aca="false">DATE(YEAR(A29),MONTH(A29),1)</f>
        <v>46296</v>
      </c>
      <c r="C29" s="77" t="n">
        <f aca="false">IF(AND(A29&gt;=Impostazioni!$B$4,A29&lt;=Impostazioni!$B$5),1,0)</f>
        <v>1</v>
      </c>
      <c r="D29" s="77" t="n">
        <f aca="false">IF(COUNTIF(Impostazioni!$A$27:$A$56,A29)&gt;0,1,0)</f>
        <v>0</v>
      </c>
      <c r="E29" s="77" t="n">
        <f aca="false">IF(COUNTIFS(Impostazioni!$A$16:$A$23,"&lt;="&amp;A29,Impostazioni!$B$16:$B$23,"&gt;="&amp;A29)&gt;0,1,0)</f>
        <v>0</v>
      </c>
      <c r="F29" s="77" t="n">
        <f aca="false">IF(AND(C29=1,D29=0,E29=0),1,0)</f>
        <v>1</v>
      </c>
      <c r="G29" s="77" t="n">
        <f aca="false">(YEAR(A29)-YEAR(Impostazioni!$B$11))*12+MONTH(A29)-MONTH(Impostazioni!$B$11)</f>
        <v>0</v>
      </c>
      <c r="H29" s="77" t="n">
        <f aca="false">INT((DAY(A29)-1+WEEKDAY(DATE(YEAR(A29),MONTH(A29),1),2)-1)/7)</f>
        <v>4</v>
      </c>
      <c r="I29" s="77" t="str">
        <f aca="false">IF(G29&gt;11,"",INDEX(Calendario!$A$14:$G$193,4+15*G29+2*H29,WEEKDAY(A29,2))&amp;"")</f>
        <v/>
      </c>
      <c r="J29" s="77" t="n">
        <f aca="false">IF(AND(F29=1,I29="A"),1,0)</f>
        <v>0</v>
      </c>
      <c r="K29" s="77" t="n">
        <f aca="false">IF(AND(F29=1,I29="G"),1,0)</f>
        <v>0</v>
      </c>
      <c r="L29" s="77" t="n">
        <f aca="false">IF(AND(F29=1,A29&gt;=Impostazioni!$B$8),1,0)</f>
        <v>1</v>
      </c>
      <c r="M29" s="77" t="n">
        <f aca="false">IF(C29=0,3,IF(OR(D29=1,E29=1),2,IF(WEEKDAY(A29,2)&gt;5,1,0)))</f>
        <v>0</v>
      </c>
      <c r="N29" s="77" t="str">
        <f aca="false">IF(OR(I29="A",I29="G"),MAX(N$1:N28)+1,"")</f>
        <v/>
      </c>
    </row>
    <row r="30" customFormat="false" ht="15" hidden="false" customHeight="false" outlineLevel="0" collapsed="false">
      <c r="A30" s="75" t="n">
        <f aca="false">A29+1</f>
        <v>46324</v>
      </c>
      <c r="B30" s="76" t="n">
        <f aca="false">DATE(YEAR(A30),MONTH(A30),1)</f>
        <v>46296</v>
      </c>
      <c r="C30" s="77" t="n">
        <f aca="false">IF(AND(A30&gt;=Impostazioni!$B$4,A30&lt;=Impostazioni!$B$5),1,0)</f>
        <v>1</v>
      </c>
      <c r="D30" s="77" t="n">
        <f aca="false">IF(COUNTIF(Impostazioni!$A$27:$A$56,A30)&gt;0,1,0)</f>
        <v>0</v>
      </c>
      <c r="E30" s="77" t="n">
        <f aca="false">IF(COUNTIFS(Impostazioni!$A$16:$A$23,"&lt;="&amp;A30,Impostazioni!$B$16:$B$23,"&gt;="&amp;A30)&gt;0,1,0)</f>
        <v>0</v>
      </c>
      <c r="F30" s="77" t="n">
        <f aca="false">IF(AND(C30=1,D30=0,E30=0),1,0)</f>
        <v>1</v>
      </c>
      <c r="G30" s="77" t="n">
        <f aca="false">(YEAR(A30)-YEAR(Impostazioni!$B$11))*12+MONTH(A30)-MONTH(Impostazioni!$B$11)</f>
        <v>0</v>
      </c>
      <c r="H30" s="77" t="n">
        <f aca="false">INT((DAY(A30)-1+WEEKDAY(DATE(YEAR(A30),MONTH(A30),1),2)-1)/7)</f>
        <v>4</v>
      </c>
      <c r="I30" s="77" t="str">
        <f aca="false">IF(G30&gt;11,"",INDEX(Calendario!$A$14:$G$193,4+15*G30+2*H30,WEEKDAY(A30,2))&amp;"")</f>
        <v/>
      </c>
      <c r="J30" s="77" t="n">
        <f aca="false">IF(AND(F30=1,I30="A"),1,0)</f>
        <v>0</v>
      </c>
      <c r="K30" s="77" t="n">
        <f aca="false">IF(AND(F30=1,I30="G"),1,0)</f>
        <v>0</v>
      </c>
      <c r="L30" s="77" t="n">
        <f aca="false">IF(AND(F30=1,A30&gt;=Impostazioni!$B$8),1,0)</f>
        <v>1</v>
      </c>
      <c r="M30" s="77" t="n">
        <f aca="false">IF(C30=0,3,IF(OR(D30=1,E30=1),2,IF(WEEKDAY(A30,2)&gt;5,1,0)))</f>
        <v>0</v>
      </c>
      <c r="N30" s="77" t="str">
        <f aca="false">IF(OR(I30="A",I30="G"),MAX(N$1:N29)+1,"")</f>
        <v/>
      </c>
    </row>
    <row r="31" customFormat="false" ht="15" hidden="false" customHeight="false" outlineLevel="0" collapsed="false">
      <c r="A31" s="75" t="n">
        <f aca="false">A30+1</f>
        <v>46325</v>
      </c>
      <c r="B31" s="76" t="n">
        <f aca="false">DATE(YEAR(A31),MONTH(A31),1)</f>
        <v>46296</v>
      </c>
      <c r="C31" s="77" t="n">
        <f aca="false">IF(AND(A31&gt;=Impostazioni!$B$4,A31&lt;=Impostazioni!$B$5),1,0)</f>
        <v>1</v>
      </c>
      <c r="D31" s="77" t="n">
        <f aca="false">IF(COUNTIF(Impostazioni!$A$27:$A$56,A31)&gt;0,1,0)</f>
        <v>0</v>
      </c>
      <c r="E31" s="77" t="n">
        <f aca="false">IF(COUNTIFS(Impostazioni!$A$16:$A$23,"&lt;="&amp;A31,Impostazioni!$B$16:$B$23,"&gt;="&amp;A31)&gt;0,1,0)</f>
        <v>0</v>
      </c>
      <c r="F31" s="77" t="n">
        <f aca="false">IF(AND(C31=1,D31=0,E31=0),1,0)</f>
        <v>1</v>
      </c>
      <c r="G31" s="77" t="n">
        <f aca="false">(YEAR(A31)-YEAR(Impostazioni!$B$11))*12+MONTH(A31)-MONTH(Impostazioni!$B$11)</f>
        <v>0</v>
      </c>
      <c r="H31" s="77" t="n">
        <f aca="false">INT((DAY(A31)-1+WEEKDAY(DATE(YEAR(A31),MONTH(A31),1),2)-1)/7)</f>
        <v>4</v>
      </c>
      <c r="I31" s="77" t="str">
        <f aca="false">IF(G31&gt;11,"",INDEX(Calendario!$A$14:$G$193,4+15*G31+2*H31,WEEKDAY(A31,2))&amp;"")</f>
        <v/>
      </c>
      <c r="J31" s="77" t="n">
        <f aca="false">IF(AND(F31=1,I31="A"),1,0)</f>
        <v>0</v>
      </c>
      <c r="K31" s="77" t="n">
        <f aca="false">IF(AND(F31=1,I31="G"),1,0)</f>
        <v>0</v>
      </c>
      <c r="L31" s="77" t="n">
        <f aca="false">IF(AND(F31=1,A31&gt;=Impostazioni!$B$8),1,0)</f>
        <v>1</v>
      </c>
      <c r="M31" s="77" t="n">
        <f aca="false">IF(C31=0,3,IF(OR(D31=1,E31=1),2,IF(WEEKDAY(A31,2)&gt;5,1,0)))</f>
        <v>0</v>
      </c>
      <c r="N31" s="77" t="str">
        <f aca="false">IF(OR(I31="A",I31="G"),MAX(N$1:N30)+1,"")</f>
        <v/>
      </c>
    </row>
    <row r="32" customFormat="false" ht="15" hidden="false" customHeight="false" outlineLevel="0" collapsed="false">
      <c r="A32" s="75" t="n">
        <f aca="false">A31+1</f>
        <v>46326</v>
      </c>
      <c r="B32" s="76" t="n">
        <f aca="false">DATE(YEAR(A32),MONTH(A32),1)</f>
        <v>46296</v>
      </c>
      <c r="C32" s="77" t="n">
        <f aca="false">IF(AND(A32&gt;=Impostazioni!$B$4,A32&lt;=Impostazioni!$B$5),1,0)</f>
        <v>1</v>
      </c>
      <c r="D32" s="77" t="n">
        <f aca="false">IF(COUNTIF(Impostazioni!$A$27:$A$56,A32)&gt;0,1,0)</f>
        <v>0</v>
      </c>
      <c r="E32" s="77" t="n">
        <f aca="false">IF(COUNTIFS(Impostazioni!$A$16:$A$23,"&lt;="&amp;A32,Impostazioni!$B$16:$B$23,"&gt;="&amp;A32)&gt;0,1,0)</f>
        <v>0</v>
      </c>
      <c r="F32" s="77" t="n">
        <f aca="false">IF(AND(C32=1,D32=0,E32=0),1,0)</f>
        <v>1</v>
      </c>
      <c r="G32" s="77" t="n">
        <f aca="false">(YEAR(A32)-YEAR(Impostazioni!$B$11))*12+MONTH(A32)-MONTH(Impostazioni!$B$11)</f>
        <v>0</v>
      </c>
      <c r="H32" s="77" t="n">
        <f aca="false">INT((DAY(A32)-1+WEEKDAY(DATE(YEAR(A32),MONTH(A32),1),2)-1)/7)</f>
        <v>4</v>
      </c>
      <c r="I32" s="77" t="str">
        <f aca="false">IF(G32&gt;11,"",INDEX(Calendario!$A$14:$G$193,4+15*G32+2*H32,WEEKDAY(A32,2))&amp;"")</f>
        <v/>
      </c>
      <c r="J32" s="77" t="n">
        <f aca="false">IF(AND(F32=1,I32="A"),1,0)</f>
        <v>0</v>
      </c>
      <c r="K32" s="77" t="n">
        <f aca="false">IF(AND(F32=1,I32="G"),1,0)</f>
        <v>0</v>
      </c>
      <c r="L32" s="77" t="n">
        <f aca="false">IF(AND(F32=1,A32&gt;=Impostazioni!$B$8),1,0)</f>
        <v>1</v>
      </c>
      <c r="M32" s="77" t="n">
        <f aca="false">IF(C32=0,3,IF(OR(D32=1,E32=1),2,IF(WEEKDAY(A32,2)&gt;5,1,0)))</f>
        <v>1</v>
      </c>
      <c r="N32" s="77" t="str">
        <f aca="false">IF(OR(I32="A",I32="G"),MAX(N$1:N31)+1,"")</f>
        <v/>
      </c>
    </row>
    <row r="33" customFormat="false" ht="15" hidden="false" customHeight="false" outlineLevel="0" collapsed="false">
      <c r="A33" s="75" t="n">
        <f aca="false">A32+1</f>
        <v>46327</v>
      </c>
      <c r="B33" s="76" t="n">
        <f aca="false">DATE(YEAR(A33),MONTH(A33),1)</f>
        <v>46327</v>
      </c>
      <c r="C33" s="77" t="n">
        <f aca="false">IF(AND(A33&gt;=Impostazioni!$B$4,A33&lt;=Impostazioni!$B$5),1,0)</f>
        <v>1</v>
      </c>
      <c r="D33" s="77" t="n">
        <f aca="false">IF(COUNTIF(Impostazioni!$A$27:$A$56,A33)&gt;0,1,0)</f>
        <v>1</v>
      </c>
      <c r="E33" s="77" t="n">
        <f aca="false">IF(COUNTIFS(Impostazioni!$A$16:$A$23,"&lt;="&amp;A33,Impostazioni!$B$16:$B$23,"&gt;="&amp;A33)&gt;0,1,0)</f>
        <v>0</v>
      </c>
      <c r="F33" s="77" t="n">
        <f aca="false">IF(AND(C33=1,D33=0,E33=0),1,0)</f>
        <v>0</v>
      </c>
      <c r="G33" s="77" t="n">
        <f aca="false">(YEAR(A33)-YEAR(Impostazioni!$B$11))*12+MONTH(A33)-MONTH(Impostazioni!$B$11)</f>
        <v>1</v>
      </c>
      <c r="H33" s="77" t="n">
        <f aca="false">INT((DAY(A33)-1+WEEKDAY(DATE(YEAR(A33),MONTH(A33),1),2)-1)/7)</f>
        <v>0</v>
      </c>
      <c r="I33" s="77" t="str">
        <f aca="false">IF(G33&gt;11,"",INDEX(Calendario!$A$14:$G$193,4+15*G33+2*H33,WEEKDAY(A33,2))&amp;"")</f>
        <v/>
      </c>
      <c r="J33" s="77" t="n">
        <f aca="false">IF(AND(F33=1,I33="A"),1,0)</f>
        <v>0</v>
      </c>
      <c r="K33" s="77" t="n">
        <f aca="false">IF(AND(F33=1,I33="G"),1,0)</f>
        <v>0</v>
      </c>
      <c r="L33" s="77" t="n">
        <f aca="false">IF(AND(F33=1,A33&gt;=Impostazioni!$B$8),1,0)</f>
        <v>0</v>
      </c>
      <c r="M33" s="77" t="n">
        <f aca="false">IF(C33=0,3,IF(OR(D33=1,E33=1),2,IF(WEEKDAY(A33,2)&gt;5,1,0)))</f>
        <v>2</v>
      </c>
      <c r="N33" s="77" t="str">
        <f aca="false">IF(OR(I33="A",I33="G"),MAX(N$1:N32)+1,"")</f>
        <v/>
      </c>
    </row>
    <row r="34" customFormat="false" ht="15" hidden="false" customHeight="false" outlineLevel="0" collapsed="false">
      <c r="A34" s="75" t="n">
        <f aca="false">A33+1</f>
        <v>46328</v>
      </c>
      <c r="B34" s="76" t="n">
        <f aca="false">DATE(YEAR(A34),MONTH(A34),1)</f>
        <v>46327</v>
      </c>
      <c r="C34" s="77" t="n">
        <f aca="false">IF(AND(A34&gt;=Impostazioni!$B$4,A34&lt;=Impostazioni!$B$5),1,0)</f>
        <v>1</v>
      </c>
      <c r="D34" s="77" t="n">
        <f aca="false">IF(COUNTIF(Impostazioni!$A$27:$A$56,A34)&gt;0,1,0)</f>
        <v>0</v>
      </c>
      <c r="E34" s="77" t="n">
        <f aca="false">IF(COUNTIFS(Impostazioni!$A$16:$A$23,"&lt;="&amp;A34,Impostazioni!$B$16:$B$23,"&gt;="&amp;A34)&gt;0,1,0)</f>
        <v>0</v>
      </c>
      <c r="F34" s="77" t="n">
        <f aca="false">IF(AND(C34=1,D34=0,E34=0),1,0)</f>
        <v>1</v>
      </c>
      <c r="G34" s="77" t="n">
        <f aca="false">(YEAR(A34)-YEAR(Impostazioni!$B$11))*12+MONTH(A34)-MONTH(Impostazioni!$B$11)</f>
        <v>1</v>
      </c>
      <c r="H34" s="77" t="n">
        <f aca="false">INT((DAY(A34)-1+WEEKDAY(DATE(YEAR(A34),MONTH(A34),1),2)-1)/7)</f>
        <v>1</v>
      </c>
      <c r="I34" s="77" t="str">
        <f aca="false">IF(G34&gt;11,"",INDEX(Calendario!$A$14:$G$193,4+15*G34+2*H34,WEEKDAY(A34,2))&amp;"")</f>
        <v/>
      </c>
      <c r="J34" s="77" t="n">
        <f aca="false">IF(AND(F34=1,I34="A"),1,0)</f>
        <v>0</v>
      </c>
      <c r="K34" s="77" t="n">
        <f aca="false">IF(AND(F34=1,I34="G"),1,0)</f>
        <v>0</v>
      </c>
      <c r="L34" s="77" t="n">
        <f aca="false">IF(AND(F34=1,A34&gt;=Impostazioni!$B$8),1,0)</f>
        <v>1</v>
      </c>
      <c r="M34" s="77" t="n">
        <f aca="false">IF(C34=0,3,IF(OR(D34=1,E34=1),2,IF(WEEKDAY(A34,2)&gt;5,1,0)))</f>
        <v>0</v>
      </c>
      <c r="N34" s="77" t="str">
        <f aca="false">IF(OR(I34="A",I34="G"),MAX(N$1:N33)+1,"")</f>
        <v/>
      </c>
    </row>
    <row r="35" customFormat="false" ht="15" hidden="false" customHeight="false" outlineLevel="0" collapsed="false">
      <c r="A35" s="75" t="n">
        <f aca="false">A34+1</f>
        <v>46329</v>
      </c>
      <c r="B35" s="76" t="n">
        <f aca="false">DATE(YEAR(A35),MONTH(A35),1)</f>
        <v>46327</v>
      </c>
      <c r="C35" s="77" t="n">
        <f aca="false">IF(AND(A35&gt;=Impostazioni!$B$4,A35&lt;=Impostazioni!$B$5),1,0)</f>
        <v>1</v>
      </c>
      <c r="D35" s="77" t="n">
        <f aca="false">IF(COUNTIF(Impostazioni!$A$27:$A$56,A35)&gt;0,1,0)</f>
        <v>0</v>
      </c>
      <c r="E35" s="77" t="n">
        <f aca="false">IF(COUNTIFS(Impostazioni!$A$16:$A$23,"&lt;="&amp;A35,Impostazioni!$B$16:$B$23,"&gt;="&amp;A35)&gt;0,1,0)</f>
        <v>0</v>
      </c>
      <c r="F35" s="77" t="n">
        <f aca="false">IF(AND(C35=1,D35=0,E35=0),1,0)</f>
        <v>1</v>
      </c>
      <c r="G35" s="77" t="n">
        <f aca="false">(YEAR(A35)-YEAR(Impostazioni!$B$11))*12+MONTH(A35)-MONTH(Impostazioni!$B$11)</f>
        <v>1</v>
      </c>
      <c r="H35" s="77" t="n">
        <f aca="false">INT((DAY(A35)-1+WEEKDAY(DATE(YEAR(A35),MONTH(A35),1),2)-1)/7)</f>
        <v>1</v>
      </c>
      <c r="I35" s="77" t="str">
        <f aca="false">IF(G35&gt;11,"",INDEX(Calendario!$A$14:$G$193,4+15*G35+2*H35,WEEKDAY(A35,2))&amp;"")</f>
        <v/>
      </c>
      <c r="J35" s="77" t="n">
        <f aca="false">IF(AND(F35=1,I35="A"),1,0)</f>
        <v>0</v>
      </c>
      <c r="K35" s="77" t="n">
        <f aca="false">IF(AND(F35=1,I35="G"),1,0)</f>
        <v>0</v>
      </c>
      <c r="L35" s="77" t="n">
        <f aca="false">IF(AND(F35=1,A35&gt;=Impostazioni!$B$8),1,0)</f>
        <v>1</v>
      </c>
      <c r="M35" s="77" t="n">
        <f aca="false">IF(C35=0,3,IF(OR(D35=1,E35=1),2,IF(WEEKDAY(A35,2)&gt;5,1,0)))</f>
        <v>0</v>
      </c>
      <c r="N35" s="77" t="str">
        <f aca="false">IF(OR(I35="A",I35="G"),MAX(N$1:N34)+1,"")</f>
        <v/>
      </c>
    </row>
    <row r="36" customFormat="false" ht="15" hidden="false" customHeight="false" outlineLevel="0" collapsed="false">
      <c r="A36" s="75" t="n">
        <f aca="false">A35+1</f>
        <v>46330</v>
      </c>
      <c r="B36" s="76" t="n">
        <f aca="false">DATE(YEAR(A36),MONTH(A36),1)</f>
        <v>46327</v>
      </c>
      <c r="C36" s="77" t="n">
        <f aca="false">IF(AND(A36&gt;=Impostazioni!$B$4,A36&lt;=Impostazioni!$B$5),1,0)</f>
        <v>1</v>
      </c>
      <c r="D36" s="77" t="n">
        <f aca="false">IF(COUNTIF(Impostazioni!$A$27:$A$56,A36)&gt;0,1,0)</f>
        <v>0</v>
      </c>
      <c r="E36" s="77" t="n">
        <f aca="false">IF(COUNTIFS(Impostazioni!$A$16:$A$23,"&lt;="&amp;A36,Impostazioni!$B$16:$B$23,"&gt;="&amp;A36)&gt;0,1,0)</f>
        <v>0</v>
      </c>
      <c r="F36" s="77" t="n">
        <f aca="false">IF(AND(C36=1,D36=0,E36=0),1,0)</f>
        <v>1</v>
      </c>
      <c r="G36" s="77" t="n">
        <f aca="false">(YEAR(A36)-YEAR(Impostazioni!$B$11))*12+MONTH(A36)-MONTH(Impostazioni!$B$11)</f>
        <v>1</v>
      </c>
      <c r="H36" s="77" t="n">
        <f aca="false">INT((DAY(A36)-1+WEEKDAY(DATE(YEAR(A36),MONTH(A36),1),2)-1)/7)</f>
        <v>1</v>
      </c>
      <c r="I36" s="77" t="str">
        <f aca="false">IF(G36&gt;11,"",INDEX(Calendario!$A$14:$G$193,4+15*G36+2*H36,WEEKDAY(A36,2))&amp;"")</f>
        <v/>
      </c>
      <c r="J36" s="77" t="n">
        <f aca="false">IF(AND(F36=1,I36="A"),1,0)</f>
        <v>0</v>
      </c>
      <c r="K36" s="77" t="n">
        <f aca="false">IF(AND(F36=1,I36="G"),1,0)</f>
        <v>0</v>
      </c>
      <c r="L36" s="77" t="n">
        <f aca="false">IF(AND(F36=1,A36&gt;=Impostazioni!$B$8),1,0)</f>
        <v>1</v>
      </c>
      <c r="M36" s="77" t="n">
        <f aca="false">IF(C36=0,3,IF(OR(D36=1,E36=1),2,IF(WEEKDAY(A36,2)&gt;5,1,0)))</f>
        <v>0</v>
      </c>
      <c r="N36" s="77" t="str">
        <f aca="false">IF(OR(I36="A",I36="G"),MAX(N$1:N35)+1,"")</f>
        <v/>
      </c>
    </row>
    <row r="37" customFormat="false" ht="15" hidden="false" customHeight="false" outlineLevel="0" collapsed="false">
      <c r="A37" s="75" t="n">
        <f aca="false">A36+1</f>
        <v>46331</v>
      </c>
      <c r="B37" s="76" t="n">
        <f aca="false">DATE(YEAR(A37),MONTH(A37),1)</f>
        <v>46327</v>
      </c>
      <c r="C37" s="77" t="n">
        <f aca="false">IF(AND(A37&gt;=Impostazioni!$B$4,A37&lt;=Impostazioni!$B$5),1,0)</f>
        <v>1</v>
      </c>
      <c r="D37" s="77" t="n">
        <f aca="false">IF(COUNTIF(Impostazioni!$A$27:$A$56,A37)&gt;0,1,0)</f>
        <v>0</v>
      </c>
      <c r="E37" s="77" t="n">
        <f aca="false">IF(COUNTIFS(Impostazioni!$A$16:$A$23,"&lt;="&amp;A37,Impostazioni!$B$16:$B$23,"&gt;="&amp;A37)&gt;0,1,0)</f>
        <v>0</v>
      </c>
      <c r="F37" s="77" t="n">
        <f aca="false">IF(AND(C37=1,D37=0,E37=0),1,0)</f>
        <v>1</v>
      </c>
      <c r="G37" s="77" t="n">
        <f aca="false">(YEAR(A37)-YEAR(Impostazioni!$B$11))*12+MONTH(A37)-MONTH(Impostazioni!$B$11)</f>
        <v>1</v>
      </c>
      <c r="H37" s="77" t="n">
        <f aca="false">INT((DAY(A37)-1+WEEKDAY(DATE(YEAR(A37),MONTH(A37),1),2)-1)/7)</f>
        <v>1</v>
      </c>
      <c r="I37" s="77" t="str">
        <f aca="false">IF(G37&gt;11,"",INDEX(Calendario!$A$14:$G$193,4+15*G37+2*H37,WEEKDAY(A37,2))&amp;"")</f>
        <v/>
      </c>
      <c r="J37" s="77" t="n">
        <f aca="false">IF(AND(F37=1,I37="A"),1,0)</f>
        <v>0</v>
      </c>
      <c r="K37" s="77" t="n">
        <f aca="false">IF(AND(F37=1,I37="G"),1,0)</f>
        <v>0</v>
      </c>
      <c r="L37" s="77" t="n">
        <f aca="false">IF(AND(F37=1,A37&gt;=Impostazioni!$B$8),1,0)</f>
        <v>1</v>
      </c>
      <c r="M37" s="77" t="n">
        <f aca="false">IF(C37=0,3,IF(OR(D37=1,E37=1),2,IF(WEEKDAY(A37,2)&gt;5,1,0)))</f>
        <v>0</v>
      </c>
      <c r="N37" s="77" t="str">
        <f aca="false">IF(OR(I37="A",I37="G"),MAX(N$1:N36)+1,"")</f>
        <v/>
      </c>
    </row>
    <row r="38" customFormat="false" ht="15" hidden="false" customHeight="false" outlineLevel="0" collapsed="false">
      <c r="A38" s="75" t="n">
        <f aca="false">A37+1</f>
        <v>46332</v>
      </c>
      <c r="B38" s="76" t="n">
        <f aca="false">DATE(YEAR(A38),MONTH(A38),1)</f>
        <v>46327</v>
      </c>
      <c r="C38" s="77" t="n">
        <f aca="false">IF(AND(A38&gt;=Impostazioni!$B$4,A38&lt;=Impostazioni!$B$5),1,0)</f>
        <v>1</v>
      </c>
      <c r="D38" s="77" t="n">
        <f aca="false">IF(COUNTIF(Impostazioni!$A$27:$A$56,A38)&gt;0,1,0)</f>
        <v>0</v>
      </c>
      <c r="E38" s="77" t="n">
        <f aca="false">IF(COUNTIFS(Impostazioni!$A$16:$A$23,"&lt;="&amp;A38,Impostazioni!$B$16:$B$23,"&gt;="&amp;A38)&gt;0,1,0)</f>
        <v>0</v>
      </c>
      <c r="F38" s="77" t="n">
        <f aca="false">IF(AND(C38=1,D38=0,E38=0),1,0)</f>
        <v>1</v>
      </c>
      <c r="G38" s="77" t="n">
        <f aca="false">(YEAR(A38)-YEAR(Impostazioni!$B$11))*12+MONTH(A38)-MONTH(Impostazioni!$B$11)</f>
        <v>1</v>
      </c>
      <c r="H38" s="77" t="n">
        <f aca="false">INT((DAY(A38)-1+WEEKDAY(DATE(YEAR(A38),MONTH(A38),1),2)-1)/7)</f>
        <v>1</v>
      </c>
      <c r="I38" s="77" t="str">
        <f aca="false">IF(G38&gt;11,"",INDEX(Calendario!$A$14:$G$193,4+15*G38+2*H38,WEEKDAY(A38,2))&amp;"")</f>
        <v/>
      </c>
      <c r="J38" s="77" t="n">
        <f aca="false">IF(AND(F38=1,I38="A"),1,0)</f>
        <v>0</v>
      </c>
      <c r="K38" s="77" t="n">
        <f aca="false">IF(AND(F38=1,I38="G"),1,0)</f>
        <v>0</v>
      </c>
      <c r="L38" s="77" t="n">
        <f aca="false">IF(AND(F38=1,A38&gt;=Impostazioni!$B$8),1,0)</f>
        <v>1</v>
      </c>
      <c r="M38" s="77" t="n">
        <f aca="false">IF(C38=0,3,IF(OR(D38=1,E38=1),2,IF(WEEKDAY(A38,2)&gt;5,1,0)))</f>
        <v>0</v>
      </c>
      <c r="N38" s="77" t="str">
        <f aca="false">IF(OR(I38="A",I38="G"),MAX(N$1:N37)+1,"")</f>
        <v/>
      </c>
    </row>
    <row r="39" customFormat="false" ht="15" hidden="false" customHeight="false" outlineLevel="0" collapsed="false">
      <c r="A39" s="75" t="n">
        <f aca="false">A38+1</f>
        <v>46333</v>
      </c>
      <c r="B39" s="76" t="n">
        <f aca="false">DATE(YEAR(A39),MONTH(A39),1)</f>
        <v>46327</v>
      </c>
      <c r="C39" s="77" t="n">
        <f aca="false">IF(AND(A39&gt;=Impostazioni!$B$4,A39&lt;=Impostazioni!$B$5),1,0)</f>
        <v>1</v>
      </c>
      <c r="D39" s="77" t="n">
        <f aca="false">IF(COUNTIF(Impostazioni!$A$27:$A$56,A39)&gt;0,1,0)</f>
        <v>0</v>
      </c>
      <c r="E39" s="77" t="n">
        <f aca="false">IF(COUNTIFS(Impostazioni!$A$16:$A$23,"&lt;="&amp;A39,Impostazioni!$B$16:$B$23,"&gt;="&amp;A39)&gt;0,1,0)</f>
        <v>0</v>
      </c>
      <c r="F39" s="77" t="n">
        <f aca="false">IF(AND(C39=1,D39=0,E39=0),1,0)</f>
        <v>1</v>
      </c>
      <c r="G39" s="77" t="n">
        <f aca="false">(YEAR(A39)-YEAR(Impostazioni!$B$11))*12+MONTH(A39)-MONTH(Impostazioni!$B$11)</f>
        <v>1</v>
      </c>
      <c r="H39" s="77" t="n">
        <f aca="false">INT((DAY(A39)-1+WEEKDAY(DATE(YEAR(A39),MONTH(A39),1),2)-1)/7)</f>
        <v>1</v>
      </c>
      <c r="I39" s="77" t="str">
        <f aca="false">IF(G39&gt;11,"",INDEX(Calendario!$A$14:$G$193,4+15*G39+2*H39,WEEKDAY(A39,2))&amp;"")</f>
        <v/>
      </c>
      <c r="J39" s="77" t="n">
        <f aca="false">IF(AND(F39=1,I39="A"),1,0)</f>
        <v>0</v>
      </c>
      <c r="K39" s="77" t="n">
        <f aca="false">IF(AND(F39=1,I39="G"),1,0)</f>
        <v>0</v>
      </c>
      <c r="L39" s="77" t="n">
        <f aca="false">IF(AND(F39=1,A39&gt;=Impostazioni!$B$8),1,0)</f>
        <v>1</v>
      </c>
      <c r="M39" s="77" t="n">
        <f aca="false">IF(C39=0,3,IF(OR(D39=1,E39=1),2,IF(WEEKDAY(A39,2)&gt;5,1,0)))</f>
        <v>1</v>
      </c>
      <c r="N39" s="77" t="str">
        <f aca="false">IF(OR(I39="A",I39="G"),MAX(N$1:N38)+1,"")</f>
        <v/>
      </c>
    </row>
    <row r="40" customFormat="false" ht="15" hidden="false" customHeight="false" outlineLevel="0" collapsed="false">
      <c r="A40" s="75" t="n">
        <f aca="false">A39+1</f>
        <v>46334</v>
      </c>
      <c r="B40" s="76" t="n">
        <f aca="false">DATE(YEAR(A40),MONTH(A40),1)</f>
        <v>46327</v>
      </c>
      <c r="C40" s="77" t="n">
        <f aca="false">IF(AND(A40&gt;=Impostazioni!$B$4,A40&lt;=Impostazioni!$B$5),1,0)</f>
        <v>1</v>
      </c>
      <c r="D40" s="77" t="n">
        <f aca="false">IF(COUNTIF(Impostazioni!$A$27:$A$56,A40)&gt;0,1,0)</f>
        <v>0</v>
      </c>
      <c r="E40" s="77" t="n">
        <f aca="false">IF(COUNTIFS(Impostazioni!$A$16:$A$23,"&lt;="&amp;A40,Impostazioni!$B$16:$B$23,"&gt;="&amp;A40)&gt;0,1,0)</f>
        <v>0</v>
      </c>
      <c r="F40" s="77" t="n">
        <f aca="false">IF(AND(C40=1,D40=0,E40=0),1,0)</f>
        <v>1</v>
      </c>
      <c r="G40" s="77" t="n">
        <f aca="false">(YEAR(A40)-YEAR(Impostazioni!$B$11))*12+MONTH(A40)-MONTH(Impostazioni!$B$11)</f>
        <v>1</v>
      </c>
      <c r="H40" s="77" t="n">
        <f aca="false">INT((DAY(A40)-1+WEEKDAY(DATE(YEAR(A40),MONTH(A40),1),2)-1)/7)</f>
        <v>1</v>
      </c>
      <c r="I40" s="77" t="str">
        <f aca="false">IF(G40&gt;11,"",INDEX(Calendario!$A$14:$G$193,4+15*G40+2*H40,WEEKDAY(A40,2))&amp;"")</f>
        <v/>
      </c>
      <c r="J40" s="77" t="n">
        <f aca="false">IF(AND(F40=1,I40="A"),1,0)</f>
        <v>0</v>
      </c>
      <c r="K40" s="77" t="n">
        <f aca="false">IF(AND(F40=1,I40="G"),1,0)</f>
        <v>0</v>
      </c>
      <c r="L40" s="77" t="n">
        <f aca="false">IF(AND(F40=1,A40&gt;=Impostazioni!$B$8),1,0)</f>
        <v>1</v>
      </c>
      <c r="M40" s="77" t="n">
        <f aca="false">IF(C40=0,3,IF(OR(D40=1,E40=1),2,IF(WEEKDAY(A40,2)&gt;5,1,0)))</f>
        <v>1</v>
      </c>
      <c r="N40" s="77" t="str">
        <f aca="false">IF(OR(I40="A",I40="G"),MAX(N$1:N39)+1,"")</f>
        <v/>
      </c>
    </row>
    <row r="41" customFormat="false" ht="15" hidden="false" customHeight="false" outlineLevel="0" collapsed="false">
      <c r="A41" s="75" t="n">
        <f aca="false">A40+1</f>
        <v>46335</v>
      </c>
      <c r="B41" s="76" t="n">
        <f aca="false">DATE(YEAR(A41),MONTH(A41),1)</f>
        <v>46327</v>
      </c>
      <c r="C41" s="77" t="n">
        <f aca="false">IF(AND(A41&gt;=Impostazioni!$B$4,A41&lt;=Impostazioni!$B$5),1,0)</f>
        <v>1</v>
      </c>
      <c r="D41" s="77" t="n">
        <f aca="false">IF(COUNTIF(Impostazioni!$A$27:$A$56,A41)&gt;0,1,0)</f>
        <v>0</v>
      </c>
      <c r="E41" s="77" t="n">
        <f aca="false">IF(COUNTIFS(Impostazioni!$A$16:$A$23,"&lt;="&amp;A41,Impostazioni!$B$16:$B$23,"&gt;="&amp;A41)&gt;0,1,0)</f>
        <v>0</v>
      </c>
      <c r="F41" s="77" t="n">
        <f aca="false">IF(AND(C41=1,D41=0,E41=0),1,0)</f>
        <v>1</v>
      </c>
      <c r="G41" s="77" t="n">
        <f aca="false">(YEAR(A41)-YEAR(Impostazioni!$B$11))*12+MONTH(A41)-MONTH(Impostazioni!$B$11)</f>
        <v>1</v>
      </c>
      <c r="H41" s="77" t="n">
        <f aca="false">INT((DAY(A41)-1+WEEKDAY(DATE(YEAR(A41),MONTH(A41),1),2)-1)/7)</f>
        <v>2</v>
      </c>
      <c r="I41" s="77" t="str">
        <f aca="false">IF(G41&gt;11,"",INDEX(Calendario!$A$14:$G$193,4+15*G41+2*H41,WEEKDAY(A41,2))&amp;"")</f>
        <v/>
      </c>
      <c r="J41" s="77" t="n">
        <f aca="false">IF(AND(F41=1,I41="A"),1,0)</f>
        <v>0</v>
      </c>
      <c r="K41" s="77" t="n">
        <f aca="false">IF(AND(F41=1,I41="G"),1,0)</f>
        <v>0</v>
      </c>
      <c r="L41" s="77" t="n">
        <f aca="false">IF(AND(F41=1,A41&gt;=Impostazioni!$B$8),1,0)</f>
        <v>1</v>
      </c>
      <c r="M41" s="77" t="n">
        <f aca="false">IF(C41=0,3,IF(OR(D41=1,E41=1),2,IF(WEEKDAY(A41,2)&gt;5,1,0)))</f>
        <v>0</v>
      </c>
      <c r="N41" s="77" t="str">
        <f aca="false">IF(OR(I41="A",I41="G"),MAX(N$1:N40)+1,"")</f>
        <v/>
      </c>
    </row>
    <row r="42" customFormat="false" ht="15" hidden="false" customHeight="false" outlineLevel="0" collapsed="false">
      <c r="A42" s="75" t="n">
        <f aca="false">A41+1</f>
        <v>46336</v>
      </c>
      <c r="B42" s="76" t="n">
        <f aca="false">DATE(YEAR(A42),MONTH(A42),1)</f>
        <v>46327</v>
      </c>
      <c r="C42" s="77" t="n">
        <f aca="false">IF(AND(A42&gt;=Impostazioni!$B$4,A42&lt;=Impostazioni!$B$5),1,0)</f>
        <v>1</v>
      </c>
      <c r="D42" s="77" t="n">
        <f aca="false">IF(COUNTIF(Impostazioni!$A$27:$A$56,A42)&gt;0,1,0)</f>
        <v>0</v>
      </c>
      <c r="E42" s="77" t="n">
        <f aca="false">IF(COUNTIFS(Impostazioni!$A$16:$A$23,"&lt;="&amp;A42,Impostazioni!$B$16:$B$23,"&gt;="&amp;A42)&gt;0,1,0)</f>
        <v>0</v>
      </c>
      <c r="F42" s="77" t="n">
        <f aca="false">IF(AND(C42=1,D42=0,E42=0),1,0)</f>
        <v>1</v>
      </c>
      <c r="G42" s="77" t="n">
        <f aca="false">(YEAR(A42)-YEAR(Impostazioni!$B$11))*12+MONTH(A42)-MONTH(Impostazioni!$B$11)</f>
        <v>1</v>
      </c>
      <c r="H42" s="77" t="n">
        <f aca="false">INT((DAY(A42)-1+WEEKDAY(DATE(YEAR(A42),MONTH(A42),1),2)-1)/7)</f>
        <v>2</v>
      </c>
      <c r="I42" s="77" t="str">
        <f aca="false">IF(G42&gt;11,"",INDEX(Calendario!$A$14:$G$193,4+15*G42+2*H42,WEEKDAY(A42,2))&amp;"")</f>
        <v/>
      </c>
      <c r="J42" s="77" t="n">
        <f aca="false">IF(AND(F42=1,I42="A"),1,0)</f>
        <v>0</v>
      </c>
      <c r="K42" s="77" t="n">
        <f aca="false">IF(AND(F42=1,I42="G"),1,0)</f>
        <v>0</v>
      </c>
      <c r="L42" s="77" t="n">
        <f aca="false">IF(AND(F42=1,A42&gt;=Impostazioni!$B$8),1,0)</f>
        <v>1</v>
      </c>
      <c r="M42" s="77" t="n">
        <f aca="false">IF(C42=0,3,IF(OR(D42=1,E42=1),2,IF(WEEKDAY(A42,2)&gt;5,1,0)))</f>
        <v>0</v>
      </c>
      <c r="N42" s="77" t="str">
        <f aca="false">IF(OR(I42="A",I42="G"),MAX(N$1:N41)+1,"")</f>
        <v/>
      </c>
    </row>
    <row r="43" customFormat="false" ht="15" hidden="false" customHeight="false" outlineLevel="0" collapsed="false">
      <c r="A43" s="75" t="n">
        <f aca="false">A42+1</f>
        <v>46337</v>
      </c>
      <c r="B43" s="76" t="n">
        <f aca="false">DATE(YEAR(A43),MONTH(A43),1)</f>
        <v>46327</v>
      </c>
      <c r="C43" s="77" t="n">
        <f aca="false">IF(AND(A43&gt;=Impostazioni!$B$4,A43&lt;=Impostazioni!$B$5),1,0)</f>
        <v>1</v>
      </c>
      <c r="D43" s="77" t="n">
        <f aca="false">IF(COUNTIF(Impostazioni!$A$27:$A$56,A43)&gt;0,1,0)</f>
        <v>0</v>
      </c>
      <c r="E43" s="77" t="n">
        <f aca="false">IF(COUNTIFS(Impostazioni!$A$16:$A$23,"&lt;="&amp;A43,Impostazioni!$B$16:$B$23,"&gt;="&amp;A43)&gt;0,1,0)</f>
        <v>0</v>
      </c>
      <c r="F43" s="77" t="n">
        <f aca="false">IF(AND(C43=1,D43=0,E43=0),1,0)</f>
        <v>1</v>
      </c>
      <c r="G43" s="77" t="n">
        <f aca="false">(YEAR(A43)-YEAR(Impostazioni!$B$11))*12+MONTH(A43)-MONTH(Impostazioni!$B$11)</f>
        <v>1</v>
      </c>
      <c r="H43" s="77" t="n">
        <f aca="false">INT((DAY(A43)-1+WEEKDAY(DATE(YEAR(A43),MONTH(A43),1),2)-1)/7)</f>
        <v>2</v>
      </c>
      <c r="I43" s="77" t="str">
        <f aca="false">IF(G43&gt;11,"",INDEX(Calendario!$A$14:$G$193,4+15*G43+2*H43,WEEKDAY(A43,2))&amp;"")</f>
        <v/>
      </c>
      <c r="J43" s="77" t="n">
        <f aca="false">IF(AND(F43=1,I43="A"),1,0)</f>
        <v>0</v>
      </c>
      <c r="K43" s="77" t="n">
        <f aca="false">IF(AND(F43=1,I43="G"),1,0)</f>
        <v>0</v>
      </c>
      <c r="L43" s="77" t="n">
        <f aca="false">IF(AND(F43=1,A43&gt;=Impostazioni!$B$8),1,0)</f>
        <v>1</v>
      </c>
      <c r="M43" s="77" t="n">
        <f aca="false">IF(C43=0,3,IF(OR(D43=1,E43=1),2,IF(WEEKDAY(A43,2)&gt;5,1,0)))</f>
        <v>0</v>
      </c>
      <c r="N43" s="77" t="str">
        <f aca="false">IF(OR(I43="A",I43="G"),MAX(N$1:N42)+1,"")</f>
        <v/>
      </c>
    </row>
    <row r="44" customFormat="false" ht="15" hidden="false" customHeight="false" outlineLevel="0" collapsed="false">
      <c r="A44" s="75" t="n">
        <f aca="false">A43+1</f>
        <v>46338</v>
      </c>
      <c r="B44" s="76" t="n">
        <f aca="false">DATE(YEAR(A44),MONTH(A44),1)</f>
        <v>46327</v>
      </c>
      <c r="C44" s="77" t="n">
        <f aca="false">IF(AND(A44&gt;=Impostazioni!$B$4,A44&lt;=Impostazioni!$B$5),1,0)</f>
        <v>1</v>
      </c>
      <c r="D44" s="77" t="n">
        <f aca="false">IF(COUNTIF(Impostazioni!$A$27:$A$56,A44)&gt;0,1,0)</f>
        <v>0</v>
      </c>
      <c r="E44" s="77" t="n">
        <f aca="false">IF(COUNTIFS(Impostazioni!$A$16:$A$23,"&lt;="&amp;A44,Impostazioni!$B$16:$B$23,"&gt;="&amp;A44)&gt;0,1,0)</f>
        <v>0</v>
      </c>
      <c r="F44" s="77" t="n">
        <f aca="false">IF(AND(C44=1,D44=0,E44=0),1,0)</f>
        <v>1</v>
      </c>
      <c r="G44" s="77" t="n">
        <f aca="false">(YEAR(A44)-YEAR(Impostazioni!$B$11))*12+MONTH(A44)-MONTH(Impostazioni!$B$11)</f>
        <v>1</v>
      </c>
      <c r="H44" s="77" t="n">
        <f aca="false">INT((DAY(A44)-1+WEEKDAY(DATE(YEAR(A44),MONTH(A44),1),2)-1)/7)</f>
        <v>2</v>
      </c>
      <c r="I44" s="77" t="str">
        <f aca="false">IF(G44&gt;11,"",INDEX(Calendario!$A$14:$G$193,4+15*G44+2*H44,WEEKDAY(A44,2))&amp;"")</f>
        <v/>
      </c>
      <c r="J44" s="77" t="n">
        <f aca="false">IF(AND(F44=1,I44="A"),1,0)</f>
        <v>0</v>
      </c>
      <c r="K44" s="77" t="n">
        <f aca="false">IF(AND(F44=1,I44="G"),1,0)</f>
        <v>0</v>
      </c>
      <c r="L44" s="77" t="n">
        <f aca="false">IF(AND(F44=1,A44&gt;=Impostazioni!$B$8),1,0)</f>
        <v>1</v>
      </c>
      <c r="M44" s="77" t="n">
        <f aca="false">IF(C44=0,3,IF(OR(D44=1,E44=1),2,IF(WEEKDAY(A44,2)&gt;5,1,0)))</f>
        <v>0</v>
      </c>
      <c r="N44" s="77" t="str">
        <f aca="false">IF(OR(I44="A",I44="G"),MAX(N$1:N43)+1,"")</f>
        <v/>
      </c>
    </row>
    <row r="45" customFormat="false" ht="15" hidden="false" customHeight="false" outlineLevel="0" collapsed="false">
      <c r="A45" s="75" t="n">
        <f aca="false">A44+1</f>
        <v>46339</v>
      </c>
      <c r="B45" s="76" t="n">
        <f aca="false">DATE(YEAR(A45),MONTH(A45),1)</f>
        <v>46327</v>
      </c>
      <c r="C45" s="77" t="n">
        <f aca="false">IF(AND(A45&gt;=Impostazioni!$B$4,A45&lt;=Impostazioni!$B$5),1,0)</f>
        <v>1</v>
      </c>
      <c r="D45" s="77" t="n">
        <f aca="false">IF(COUNTIF(Impostazioni!$A$27:$A$56,A45)&gt;0,1,0)</f>
        <v>0</v>
      </c>
      <c r="E45" s="77" t="n">
        <f aca="false">IF(COUNTIFS(Impostazioni!$A$16:$A$23,"&lt;="&amp;A45,Impostazioni!$B$16:$B$23,"&gt;="&amp;A45)&gt;0,1,0)</f>
        <v>0</v>
      </c>
      <c r="F45" s="77" t="n">
        <f aca="false">IF(AND(C45=1,D45=0,E45=0),1,0)</f>
        <v>1</v>
      </c>
      <c r="G45" s="77" t="n">
        <f aca="false">(YEAR(A45)-YEAR(Impostazioni!$B$11))*12+MONTH(A45)-MONTH(Impostazioni!$B$11)</f>
        <v>1</v>
      </c>
      <c r="H45" s="77" t="n">
        <f aca="false">INT((DAY(A45)-1+WEEKDAY(DATE(YEAR(A45),MONTH(A45),1),2)-1)/7)</f>
        <v>2</v>
      </c>
      <c r="I45" s="77" t="str">
        <f aca="false">IF(G45&gt;11,"",INDEX(Calendario!$A$14:$G$193,4+15*G45+2*H45,WEEKDAY(A45,2))&amp;"")</f>
        <v/>
      </c>
      <c r="J45" s="77" t="n">
        <f aca="false">IF(AND(F45=1,I45="A"),1,0)</f>
        <v>0</v>
      </c>
      <c r="K45" s="77" t="n">
        <f aca="false">IF(AND(F45=1,I45="G"),1,0)</f>
        <v>0</v>
      </c>
      <c r="L45" s="77" t="n">
        <f aca="false">IF(AND(F45=1,A45&gt;=Impostazioni!$B$8),1,0)</f>
        <v>1</v>
      </c>
      <c r="M45" s="77" t="n">
        <f aca="false">IF(C45=0,3,IF(OR(D45=1,E45=1),2,IF(WEEKDAY(A45,2)&gt;5,1,0)))</f>
        <v>0</v>
      </c>
      <c r="N45" s="77" t="str">
        <f aca="false">IF(OR(I45="A",I45="G"),MAX(N$1:N44)+1,"")</f>
        <v/>
      </c>
    </row>
    <row r="46" customFormat="false" ht="15" hidden="false" customHeight="false" outlineLevel="0" collapsed="false">
      <c r="A46" s="75" t="n">
        <f aca="false">A45+1</f>
        <v>46340</v>
      </c>
      <c r="B46" s="76" t="n">
        <f aca="false">DATE(YEAR(A46),MONTH(A46),1)</f>
        <v>46327</v>
      </c>
      <c r="C46" s="77" t="n">
        <f aca="false">IF(AND(A46&gt;=Impostazioni!$B$4,A46&lt;=Impostazioni!$B$5),1,0)</f>
        <v>1</v>
      </c>
      <c r="D46" s="77" t="n">
        <f aca="false">IF(COUNTIF(Impostazioni!$A$27:$A$56,A46)&gt;0,1,0)</f>
        <v>0</v>
      </c>
      <c r="E46" s="77" t="n">
        <f aca="false">IF(COUNTIFS(Impostazioni!$A$16:$A$23,"&lt;="&amp;A46,Impostazioni!$B$16:$B$23,"&gt;="&amp;A46)&gt;0,1,0)</f>
        <v>0</v>
      </c>
      <c r="F46" s="77" t="n">
        <f aca="false">IF(AND(C46=1,D46=0,E46=0),1,0)</f>
        <v>1</v>
      </c>
      <c r="G46" s="77" t="n">
        <f aca="false">(YEAR(A46)-YEAR(Impostazioni!$B$11))*12+MONTH(A46)-MONTH(Impostazioni!$B$11)</f>
        <v>1</v>
      </c>
      <c r="H46" s="77" t="n">
        <f aca="false">INT((DAY(A46)-1+WEEKDAY(DATE(YEAR(A46),MONTH(A46),1),2)-1)/7)</f>
        <v>2</v>
      </c>
      <c r="I46" s="77" t="str">
        <f aca="false">IF(G46&gt;11,"",INDEX(Calendario!$A$14:$G$193,4+15*G46+2*H46,WEEKDAY(A46,2))&amp;"")</f>
        <v/>
      </c>
      <c r="J46" s="77" t="n">
        <f aca="false">IF(AND(F46=1,I46="A"),1,0)</f>
        <v>0</v>
      </c>
      <c r="K46" s="77" t="n">
        <f aca="false">IF(AND(F46=1,I46="G"),1,0)</f>
        <v>0</v>
      </c>
      <c r="L46" s="77" t="n">
        <f aca="false">IF(AND(F46=1,A46&gt;=Impostazioni!$B$8),1,0)</f>
        <v>1</v>
      </c>
      <c r="M46" s="77" t="n">
        <f aca="false">IF(C46=0,3,IF(OR(D46=1,E46=1),2,IF(WEEKDAY(A46,2)&gt;5,1,0)))</f>
        <v>1</v>
      </c>
      <c r="N46" s="77" t="str">
        <f aca="false">IF(OR(I46="A",I46="G"),MAX(N$1:N45)+1,"")</f>
        <v/>
      </c>
    </row>
    <row r="47" customFormat="false" ht="15" hidden="false" customHeight="false" outlineLevel="0" collapsed="false">
      <c r="A47" s="75" t="n">
        <f aca="false">A46+1</f>
        <v>46341</v>
      </c>
      <c r="B47" s="76" t="n">
        <f aca="false">DATE(YEAR(A47),MONTH(A47),1)</f>
        <v>46327</v>
      </c>
      <c r="C47" s="77" t="n">
        <f aca="false">IF(AND(A47&gt;=Impostazioni!$B$4,A47&lt;=Impostazioni!$B$5),1,0)</f>
        <v>1</v>
      </c>
      <c r="D47" s="77" t="n">
        <f aca="false">IF(COUNTIF(Impostazioni!$A$27:$A$56,A47)&gt;0,1,0)</f>
        <v>0</v>
      </c>
      <c r="E47" s="77" t="n">
        <f aca="false">IF(COUNTIFS(Impostazioni!$A$16:$A$23,"&lt;="&amp;A47,Impostazioni!$B$16:$B$23,"&gt;="&amp;A47)&gt;0,1,0)</f>
        <v>0</v>
      </c>
      <c r="F47" s="77" t="n">
        <f aca="false">IF(AND(C47=1,D47=0,E47=0),1,0)</f>
        <v>1</v>
      </c>
      <c r="G47" s="77" t="n">
        <f aca="false">(YEAR(A47)-YEAR(Impostazioni!$B$11))*12+MONTH(A47)-MONTH(Impostazioni!$B$11)</f>
        <v>1</v>
      </c>
      <c r="H47" s="77" t="n">
        <f aca="false">INT((DAY(A47)-1+WEEKDAY(DATE(YEAR(A47),MONTH(A47),1),2)-1)/7)</f>
        <v>2</v>
      </c>
      <c r="I47" s="77" t="str">
        <f aca="false">IF(G47&gt;11,"",INDEX(Calendario!$A$14:$G$193,4+15*G47+2*H47,WEEKDAY(A47,2))&amp;"")</f>
        <v/>
      </c>
      <c r="J47" s="77" t="n">
        <f aca="false">IF(AND(F47=1,I47="A"),1,0)</f>
        <v>0</v>
      </c>
      <c r="K47" s="77" t="n">
        <f aca="false">IF(AND(F47=1,I47="G"),1,0)</f>
        <v>0</v>
      </c>
      <c r="L47" s="77" t="n">
        <f aca="false">IF(AND(F47=1,A47&gt;=Impostazioni!$B$8),1,0)</f>
        <v>1</v>
      </c>
      <c r="M47" s="77" t="n">
        <f aca="false">IF(C47=0,3,IF(OR(D47=1,E47=1),2,IF(WEEKDAY(A47,2)&gt;5,1,0)))</f>
        <v>1</v>
      </c>
      <c r="N47" s="77" t="str">
        <f aca="false">IF(OR(I47="A",I47="G"),MAX(N$1:N46)+1,"")</f>
        <v/>
      </c>
    </row>
    <row r="48" customFormat="false" ht="15" hidden="false" customHeight="false" outlineLevel="0" collapsed="false">
      <c r="A48" s="75" t="n">
        <f aca="false">A47+1</f>
        <v>46342</v>
      </c>
      <c r="B48" s="76" t="n">
        <f aca="false">DATE(YEAR(A48),MONTH(A48),1)</f>
        <v>46327</v>
      </c>
      <c r="C48" s="77" t="n">
        <f aca="false">IF(AND(A48&gt;=Impostazioni!$B$4,A48&lt;=Impostazioni!$B$5),1,0)</f>
        <v>1</v>
      </c>
      <c r="D48" s="77" t="n">
        <f aca="false">IF(COUNTIF(Impostazioni!$A$27:$A$56,A48)&gt;0,1,0)</f>
        <v>0</v>
      </c>
      <c r="E48" s="77" t="n">
        <f aca="false">IF(COUNTIFS(Impostazioni!$A$16:$A$23,"&lt;="&amp;A48,Impostazioni!$B$16:$B$23,"&gt;="&amp;A48)&gt;0,1,0)</f>
        <v>0</v>
      </c>
      <c r="F48" s="77" t="n">
        <f aca="false">IF(AND(C48=1,D48=0,E48=0),1,0)</f>
        <v>1</v>
      </c>
      <c r="G48" s="77" t="n">
        <f aca="false">(YEAR(A48)-YEAR(Impostazioni!$B$11))*12+MONTH(A48)-MONTH(Impostazioni!$B$11)</f>
        <v>1</v>
      </c>
      <c r="H48" s="77" t="n">
        <f aca="false">INT((DAY(A48)-1+WEEKDAY(DATE(YEAR(A48),MONTH(A48),1),2)-1)/7)</f>
        <v>3</v>
      </c>
      <c r="I48" s="77" t="str">
        <f aca="false">IF(G48&gt;11,"",INDEX(Calendario!$A$14:$G$193,4+15*G48+2*H48,WEEKDAY(A48,2))&amp;"")</f>
        <v/>
      </c>
      <c r="J48" s="77" t="n">
        <f aca="false">IF(AND(F48=1,I48="A"),1,0)</f>
        <v>0</v>
      </c>
      <c r="K48" s="77" t="n">
        <f aca="false">IF(AND(F48=1,I48="G"),1,0)</f>
        <v>0</v>
      </c>
      <c r="L48" s="77" t="n">
        <f aca="false">IF(AND(F48=1,A48&gt;=Impostazioni!$B$8),1,0)</f>
        <v>1</v>
      </c>
      <c r="M48" s="77" t="n">
        <f aca="false">IF(C48=0,3,IF(OR(D48=1,E48=1),2,IF(WEEKDAY(A48,2)&gt;5,1,0)))</f>
        <v>0</v>
      </c>
      <c r="N48" s="77" t="str">
        <f aca="false">IF(OR(I48="A",I48="G"),MAX(N$1:N47)+1,"")</f>
        <v/>
      </c>
    </row>
    <row r="49" customFormat="false" ht="15" hidden="false" customHeight="false" outlineLevel="0" collapsed="false">
      <c r="A49" s="75" t="n">
        <f aca="false">A48+1</f>
        <v>46343</v>
      </c>
      <c r="B49" s="76" t="n">
        <f aca="false">DATE(YEAR(A49),MONTH(A49),1)</f>
        <v>46327</v>
      </c>
      <c r="C49" s="77" t="n">
        <f aca="false">IF(AND(A49&gt;=Impostazioni!$B$4,A49&lt;=Impostazioni!$B$5),1,0)</f>
        <v>1</v>
      </c>
      <c r="D49" s="77" t="n">
        <f aca="false">IF(COUNTIF(Impostazioni!$A$27:$A$56,A49)&gt;0,1,0)</f>
        <v>0</v>
      </c>
      <c r="E49" s="77" t="n">
        <f aca="false">IF(COUNTIFS(Impostazioni!$A$16:$A$23,"&lt;="&amp;A49,Impostazioni!$B$16:$B$23,"&gt;="&amp;A49)&gt;0,1,0)</f>
        <v>0</v>
      </c>
      <c r="F49" s="77" t="n">
        <f aca="false">IF(AND(C49=1,D49=0,E49=0),1,0)</f>
        <v>1</v>
      </c>
      <c r="G49" s="77" t="n">
        <f aca="false">(YEAR(A49)-YEAR(Impostazioni!$B$11))*12+MONTH(A49)-MONTH(Impostazioni!$B$11)</f>
        <v>1</v>
      </c>
      <c r="H49" s="77" t="n">
        <f aca="false">INT((DAY(A49)-1+WEEKDAY(DATE(YEAR(A49),MONTH(A49),1),2)-1)/7)</f>
        <v>3</v>
      </c>
      <c r="I49" s="77" t="str">
        <f aca="false">IF(G49&gt;11,"",INDEX(Calendario!$A$14:$G$193,4+15*G49+2*H49,WEEKDAY(A49,2))&amp;"")</f>
        <v/>
      </c>
      <c r="J49" s="77" t="n">
        <f aca="false">IF(AND(F49=1,I49="A"),1,0)</f>
        <v>0</v>
      </c>
      <c r="K49" s="77" t="n">
        <f aca="false">IF(AND(F49=1,I49="G"),1,0)</f>
        <v>0</v>
      </c>
      <c r="L49" s="77" t="n">
        <f aca="false">IF(AND(F49=1,A49&gt;=Impostazioni!$B$8),1,0)</f>
        <v>1</v>
      </c>
      <c r="M49" s="77" t="n">
        <f aca="false">IF(C49=0,3,IF(OR(D49=1,E49=1),2,IF(WEEKDAY(A49,2)&gt;5,1,0)))</f>
        <v>0</v>
      </c>
      <c r="N49" s="77" t="str">
        <f aca="false">IF(OR(I49="A",I49="G"),MAX(N$1:N48)+1,"")</f>
        <v/>
      </c>
    </row>
    <row r="50" customFormat="false" ht="15" hidden="false" customHeight="false" outlineLevel="0" collapsed="false">
      <c r="A50" s="75" t="n">
        <f aca="false">A49+1</f>
        <v>46344</v>
      </c>
      <c r="B50" s="76" t="n">
        <f aca="false">DATE(YEAR(A50),MONTH(A50),1)</f>
        <v>46327</v>
      </c>
      <c r="C50" s="77" t="n">
        <f aca="false">IF(AND(A50&gt;=Impostazioni!$B$4,A50&lt;=Impostazioni!$B$5),1,0)</f>
        <v>1</v>
      </c>
      <c r="D50" s="77" t="n">
        <f aca="false">IF(COUNTIF(Impostazioni!$A$27:$A$56,A50)&gt;0,1,0)</f>
        <v>0</v>
      </c>
      <c r="E50" s="77" t="n">
        <f aca="false">IF(COUNTIFS(Impostazioni!$A$16:$A$23,"&lt;="&amp;A50,Impostazioni!$B$16:$B$23,"&gt;="&amp;A50)&gt;0,1,0)</f>
        <v>0</v>
      </c>
      <c r="F50" s="77" t="n">
        <f aca="false">IF(AND(C50=1,D50=0,E50=0),1,0)</f>
        <v>1</v>
      </c>
      <c r="G50" s="77" t="n">
        <f aca="false">(YEAR(A50)-YEAR(Impostazioni!$B$11))*12+MONTH(A50)-MONTH(Impostazioni!$B$11)</f>
        <v>1</v>
      </c>
      <c r="H50" s="77" t="n">
        <f aca="false">INT((DAY(A50)-1+WEEKDAY(DATE(YEAR(A50),MONTH(A50),1),2)-1)/7)</f>
        <v>3</v>
      </c>
      <c r="I50" s="77" t="str">
        <f aca="false">IF(G50&gt;11,"",INDEX(Calendario!$A$14:$G$193,4+15*G50+2*H50,WEEKDAY(A50,2))&amp;"")</f>
        <v/>
      </c>
      <c r="J50" s="77" t="n">
        <f aca="false">IF(AND(F50=1,I50="A"),1,0)</f>
        <v>0</v>
      </c>
      <c r="K50" s="77" t="n">
        <f aca="false">IF(AND(F50=1,I50="G"),1,0)</f>
        <v>0</v>
      </c>
      <c r="L50" s="77" t="n">
        <f aca="false">IF(AND(F50=1,A50&gt;=Impostazioni!$B$8),1,0)</f>
        <v>1</v>
      </c>
      <c r="M50" s="77" t="n">
        <f aca="false">IF(C50=0,3,IF(OR(D50=1,E50=1),2,IF(WEEKDAY(A50,2)&gt;5,1,0)))</f>
        <v>0</v>
      </c>
      <c r="N50" s="77" t="str">
        <f aca="false">IF(OR(I50="A",I50="G"),MAX(N$1:N49)+1,"")</f>
        <v/>
      </c>
    </row>
    <row r="51" customFormat="false" ht="15" hidden="false" customHeight="false" outlineLevel="0" collapsed="false">
      <c r="A51" s="75" t="n">
        <f aca="false">A50+1</f>
        <v>46345</v>
      </c>
      <c r="B51" s="76" t="n">
        <f aca="false">DATE(YEAR(A51),MONTH(A51),1)</f>
        <v>46327</v>
      </c>
      <c r="C51" s="77" t="n">
        <f aca="false">IF(AND(A51&gt;=Impostazioni!$B$4,A51&lt;=Impostazioni!$B$5),1,0)</f>
        <v>1</v>
      </c>
      <c r="D51" s="77" t="n">
        <f aca="false">IF(COUNTIF(Impostazioni!$A$27:$A$56,A51)&gt;0,1,0)</f>
        <v>0</v>
      </c>
      <c r="E51" s="77" t="n">
        <f aca="false">IF(COUNTIFS(Impostazioni!$A$16:$A$23,"&lt;="&amp;A51,Impostazioni!$B$16:$B$23,"&gt;="&amp;A51)&gt;0,1,0)</f>
        <v>0</v>
      </c>
      <c r="F51" s="77" t="n">
        <f aca="false">IF(AND(C51=1,D51=0,E51=0),1,0)</f>
        <v>1</v>
      </c>
      <c r="G51" s="77" t="n">
        <f aca="false">(YEAR(A51)-YEAR(Impostazioni!$B$11))*12+MONTH(A51)-MONTH(Impostazioni!$B$11)</f>
        <v>1</v>
      </c>
      <c r="H51" s="77" t="n">
        <f aca="false">INT((DAY(A51)-1+WEEKDAY(DATE(YEAR(A51),MONTH(A51),1),2)-1)/7)</f>
        <v>3</v>
      </c>
      <c r="I51" s="77" t="str">
        <f aca="false">IF(G51&gt;11,"",INDEX(Calendario!$A$14:$G$193,4+15*G51+2*H51,WEEKDAY(A51,2))&amp;"")</f>
        <v/>
      </c>
      <c r="J51" s="77" t="n">
        <f aca="false">IF(AND(F51=1,I51="A"),1,0)</f>
        <v>0</v>
      </c>
      <c r="K51" s="77" t="n">
        <f aca="false">IF(AND(F51=1,I51="G"),1,0)</f>
        <v>0</v>
      </c>
      <c r="L51" s="77" t="n">
        <f aca="false">IF(AND(F51=1,A51&gt;=Impostazioni!$B$8),1,0)</f>
        <v>1</v>
      </c>
      <c r="M51" s="77" t="n">
        <f aca="false">IF(C51=0,3,IF(OR(D51=1,E51=1),2,IF(WEEKDAY(A51,2)&gt;5,1,0)))</f>
        <v>0</v>
      </c>
      <c r="N51" s="77" t="str">
        <f aca="false">IF(OR(I51="A",I51="G"),MAX(N$1:N50)+1,"")</f>
        <v/>
      </c>
    </row>
    <row r="52" customFormat="false" ht="15" hidden="false" customHeight="false" outlineLevel="0" collapsed="false">
      <c r="A52" s="75" t="n">
        <f aca="false">A51+1</f>
        <v>46346</v>
      </c>
      <c r="B52" s="76" t="n">
        <f aca="false">DATE(YEAR(A52),MONTH(A52),1)</f>
        <v>46327</v>
      </c>
      <c r="C52" s="77" t="n">
        <f aca="false">IF(AND(A52&gt;=Impostazioni!$B$4,A52&lt;=Impostazioni!$B$5),1,0)</f>
        <v>1</v>
      </c>
      <c r="D52" s="77" t="n">
        <f aca="false">IF(COUNTIF(Impostazioni!$A$27:$A$56,A52)&gt;0,1,0)</f>
        <v>0</v>
      </c>
      <c r="E52" s="77" t="n">
        <f aca="false">IF(COUNTIFS(Impostazioni!$A$16:$A$23,"&lt;="&amp;A52,Impostazioni!$B$16:$B$23,"&gt;="&amp;A52)&gt;0,1,0)</f>
        <v>0</v>
      </c>
      <c r="F52" s="77" t="n">
        <f aca="false">IF(AND(C52=1,D52=0,E52=0),1,0)</f>
        <v>1</v>
      </c>
      <c r="G52" s="77" t="n">
        <f aca="false">(YEAR(A52)-YEAR(Impostazioni!$B$11))*12+MONTH(A52)-MONTH(Impostazioni!$B$11)</f>
        <v>1</v>
      </c>
      <c r="H52" s="77" t="n">
        <f aca="false">INT((DAY(A52)-1+WEEKDAY(DATE(YEAR(A52),MONTH(A52),1),2)-1)/7)</f>
        <v>3</v>
      </c>
      <c r="I52" s="77" t="str">
        <f aca="false">IF(G52&gt;11,"",INDEX(Calendario!$A$14:$G$193,4+15*G52+2*H52,WEEKDAY(A52,2))&amp;"")</f>
        <v/>
      </c>
      <c r="J52" s="77" t="n">
        <f aca="false">IF(AND(F52=1,I52="A"),1,0)</f>
        <v>0</v>
      </c>
      <c r="K52" s="77" t="n">
        <f aca="false">IF(AND(F52=1,I52="G"),1,0)</f>
        <v>0</v>
      </c>
      <c r="L52" s="77" t="n">
        <f aca="false">IF(AND(F52=1,A52&gt;=Impostazioni!$B$8),1,0)</f>
        <v>1</v>
      </c>
      <c r="M52" s="77" t="n">
        <f aca="false">IF(C52=0,3,IF(OR(D52=1,E52=1),2,IF(WEEKDAY(A52,2)&gt;5,1,0)))</f>
        <v>0</v>
      </c>
      <c r="N52" s="77" t="str">
        <f aca="false">IF(OR(I52="A",I52="G"),MAX(N$1:N51)+1,"")</f>
        <v/>
      </c>
    </row>
    <row r="53" customFormat="false" ht="15" hidden="false" customHeight="false" outlineLevel="0" collapsed="false">
      <c r="A53" s="75" t="n">
        <f aca="false">A52+1</f>
        <v>46347</v>
      </c>
      <c r="B53" s="76" t="n">
        <f aca="false">DATE(YEAR(A53),MONTH(A53),1)</f>
        <v>46327</v>
      </c>
      <c r="C53" s="77" t="n">
        <f aca="false">IF(AND(A53&gt;=Impostazioni!$B$4,A53&lt;=Impostazioni!$B$5),1,0)</f>
        <v>1</v>
      </c>
      <c r="D53" s="77" t="n">
        <f aca="false">IF(COUNTIF(Impostazioni!$A$27:$A$56,A53)&gt;0,1,0)</f>
        <v>0</v>
      </c>
      <c r="E53" s="77" t="n">
        <f aca="false">IF(COUNTIFS(Impostazioni!$A$16:$A$23,"&lt;="&amp;A53,Impostazioni!$B$16:$B$23,"&gt;="&amp;A53)&gt;0,1,0)</f>
        <v>0</v>
      </c>
      <c r="F53" s="77" t="n">
        <f aca="false">IF(AND(C53=1,D53=0,E53=0),1,0)</f>
        <v>1</v>
      </c>
      <c r="G53" s="77" t="n">
        <f aca="false">(YEAR(A53)-YEAR(Impostazioni!$B$11))*12+MONTH(A53)-MONTH(Impostazioni!$B$11)</f>
        <v>1</v>
      </c>
      <c r="H53" s="77" t="n">
        <f aca="false">INT((DAY(A53)-1+WEEKDAY(DATE(YEAR(A53),MONTH(A53),1),2)-1)/7)</f>
        <v>3</v>
      </c>
      <c r="I53" s="77" t="str">
        <f aca="false">IF(G53&gt;11,"",INDEX(Calendario!$A$14:$G$193,4+15*G53+2*H53,WEEKDAY(A53,2))&amp;"")</f>
        <v/>
      </c>
      <c r="J53" s="77" t="n">
        <f aca="false">IF(AND(F53=1,I53="A"),1,0)</f>
        <v>0</v>
      </c>
      <c r="K53" s="77" t="n">
        <f aca="false">IF(AND(F53=1,I53="G"),1,0)</f>
        <v>0</v>
      </c>
      <c r="L53" s="77" t="n">
        <f aca="false">IF(AND(F53=1,A53&gt;=Impostazioni!$B$8),1,0)</f>
        <v>1</v>
      </c>
      <c r="M53" s="77" t="n">
        <f aca="false">IF(C53=0,3,IF(OR(D53=1,E53=1),2,IF(WEEKDAY(A53,2)&gt;5,1,0)))</f>
        <v>1</v>
      </c>
      <c r="N53" s="77" t="str">
        <f aca="false">IF(OR(I53="A",I53="G"),MAX(N$1:N52)+1,"")</f>
        <v/>
      </c>
    </row>
    <row r="54" customFormat="false" ht="15" hidden="false" customHeight="false" outlineLevel="0" collapsed="false">
      <c r="A54" s="75" t="n">
        <f aca="false">A53+1</f>
        <v>46348</v>
      </c>
      <c r="B54" s="76" t="n">
        <f aca="false">DATE(YEAR(A54),MONTH(A54),1)</f>
        <v>46327</v>
      </c>
      <c r="C54" s="77" t="n">
        <f aca="false">IF(AND(A54&gt;=Impostazioni!$B$4,A54&lt;=Impostazioni!$B$5),1,0)</f>
        <v>1</v>
      </c>
      <c r="D54" s="77" t="n">
        <f aca="false">IF(COUNTIF(Impostazioni!$A$27:$A$56,A54)&gt;0,1,0)</f>
        <v>0</v>
      </c>
      <c r="E54" s="77" t="n">
        <f aca="false">IF(COUNTIFS(Impostazioni!$A$16:$A$23,"&lt;="&amp;A54,Impostazioni!$B$16:$B$23,"&gt;="&amp;A54)&gt;0,1,0)</f>
        <v>0</v>
      </c>
      <c r="F54" s="77" t="n">
        <f aca="false">IF(AND(C54=1,D54=0,E54=0),1,0)</f>
        <v>1</v>
      </c>
      <c r="G54" s="77" t="n">
        <f aca="false">(YEAR(A54)-YEAR(Impostazioni!$B$11))*12+MONTH(A54)-MONTH(Impostazioni!$B$11)</f>
        <v>1</v>
      </c>
      <c r="H54" s="77" t="n">
        <f aca="false">INT((DAY(A54)-1+WEEKDAY(DATE(YEAR(A54),MONTH(A54),1),2)-1)/7)</f>
        <v>3</v>
      </c>
      <c r="I54" s="77" t="str">
        <f aca="false">IF(G54&gt;11,"",INDEX(Calendario!$A$14:$G$193,4+15*G54+2*H54,WEEKDAY(A54,2))&amp;"")</f>
        <v/>
      </c>
      <c r="J54" s="77" t="n">
        <f aca="false">IF(AND(F54=1,I54="A"),1,0)</f>
        <v>0</v>
      </c>
      <c r="K54" s="77" t="n">
        <f aca="false">IF(AND(F54=1,I54="G"),1,0)</f>
        <v>0</v>
      </c>
      <c r="L54" s="77" t="n">
        <f aca="false">IF(AND(F54=1,A54&gt;=Impostazioni!$B$8),1,0)</f>
        <v>1</v>
      </c>
      <c r="M54" s="77" t="n">
        <f aca="false">IF(C54=0,3,IF(OR(D54=1,E54=1),2,IF(WEEKDAY(A54,2)&gt;5,1,0)))</f>
        <v>1</v>
      </c>
      <c r="N54" s="77" t="str">
        <f aca="false">IF(OR(I54="A",I54="G"),MAX(N$1:N53)+1,"")</f>
        <v/>
      </c>
    </row>
    <row r="55" customFormat="false" ht="15" hidden="false" customHeight="false" outlineLevel="0" collapsed="false">
      <c r="A55" s="75" t="n">
        <f aca="false">A54+1</f>
        <v>46349</v>
      </c>
      <c r="B55" s="76" t="n">
        <f aca="false">DATE(YEAR(A55),MONTH(A55),1)</f>
        <v>46327</v>
      </c>
      <c r="C55" s="77" t="n">
        <f aca="false">IF(AND(A55&gt;=Impostazioni!$B$4,A55&lt;=Impostazioni!$B$5),1,0)</f>
        <v>1</v>
      </c>
      <c r="D55" s="77" t="n">
        <f aca="false">IF(COUNTIF(Impostazioni!$A$27:$A$56,A55)&gt;0,1,0)</f>
        <v>0</v>
      </c>
      <c r="E55" s="77" t="n">
        <f aca="false">IF(COUNTIFS(Impostazioni!$A$16:$A$23,"&lt;="&amp;A55,Impostazioni!$B$16:$B$23,"&gt;="&amp;A55)&gt;0,1,0)</f>
        <v>0</v>
      </c>
      <c r="F55" s="77" t="n">
        <f aca="false">IF(AND(C55=1,D55=0,E55=0),1,0)</f>
        <v>1</v>
      </c>
      <c r="G55" s="77" t="n">
        <f aca="false">(YEAR(A55)-YEAR(Impostazioni!$B$11))*12+MONTH(A55)-MONTH(Impostazioni!$B$11)</f>
        <v>1</v>
      </c>
      <c r="H55" s="77" t="n">
        <f aca="false">INT((DAY(A55)-1+WEEKDAY(DATE(YEAR(A55),MONTH(A55),1),2)-1)/7)</f>
        <v>4</v>
      </c>
      <c r="I55" s="77" t="str">
        <f aca="false">IF(G55&gt;11,"",INDEX(Calendario!$A$14:$G$193,4+15*G55+2*H55,WEEKDAY(A55,2))&amp;"")</f>
        <v/>
      </c>
      <c r="J55" s="77" t="n">
        <f aca="false">IF(AND(F55=1,I55="A"),1,0)</f>
        <v>0</v>
      </c>
      <c r="K55" s="77" t="n">
        <f aca="false">IF(AND(F55=1,I55="G"),1,0)</f>
        <v>0</v>
      </c>
      <c r="L55" s="77" t="n">
        <f aca="false">IF(AND(F55=1,A55&gt;=Impostazioni!$B$8),1,0)</f>
        <v>1</v>
      </c>
      <c r="M55" s="77" t="n">
        <f aca="false">IF(C55=0,3,IF(OR(D55=1,E55=1),2,IF(WEEKDAY(A55,2)&gt;5,1,0)))</f>
        <v>0</v>
      </c>
      <c r="N55" s="77" t="str">
        <f aca="false">IF(OR(I55="A",I55="G"),MAX(N$1:N54)+1,"")</f>
        <v/>
      </c>
    </row>
    <row r="56" customFormat="false" ht="15" hidden="false" customHeight="false" outlineLevel="0" collapsed="false">
      <c r="A56" s="75" t="n">
        <f aca="false">A55+1</f>
        <v>46350</v>
      </c>
      <c r="B56" s="76" t="n">
        <f aca="false">DATE(YEAR(A56),MONTH(A56),1)</f>
        <v>46327</v>
      </c>
      <c r="C56" s="77" t="n">
        <f aca="false">IF(AND(A56&gt;=Impostazioni!$B$4,A56&lt;=Impostazioni!$B$5),1,0)</f>
        <v>1</v>
      </c>
      <c r="D56" s="77" t="n">
        <f aca="false">IF(COUNTIF(Impostazioni!$A$27:$A$56,A56)&gt;0,1,0)</f>
        <v>0</v>
      </c>
      <c r="E56" s="77" t="n">
        <f aca="false">IF(COUNTIFS(Impostazioni!$A$16:$A$23,"&lt;="&amp;A56,Impostazioni!$B$16:$B$23,"&gt;="&amp;A56)&gt;0,1,0)</f>
        <v>0</v>
      </c>
      <c r="F56" s="77" t="n">
        <f aca="false">IF(AND(C56=1,D56=0,E56=0),1,0)</f>
        <v>1</v>
      </c>
      <c r="G56" s="77" t="n">
        <f aca="false">(YEAR(A56)-YEAR(Impostazioni!$B$11))*12+MONTH(A56)-MONTH(Impostazioni!$B$11)</f>
        <v>1</v>
      </c>
      <c r="H56" s="77" t="n">
        <f aca="false">INT((DAY(A56)-1+WEEKDAY(DATE(YEAR(A56),MONTH(A56),1),2)-1)/7)</f>
        <v>4</v>
      </c>
      <c r="I56" s="77" t="str">
        <f aca="false">IF(G56&gt;11,"",INDEX(Calendario!$A$14:$G$193,4+15*G56+2*H56,WEEKDAY(A56,2))&amp;"")</f>
        <v/>
      </c>
      <c r="J56" s="77" t="n">
        <f aca="false">IF(AND(F56=1,I56="A"),1,0)</f>
        <v>0</v>
      </c>
      <c r="K56" s="77" t="n">
        <f aca="false">IF(AND(F56=1,I56="G"),1,0)</f>
        <v>0</v>
      </c>
      <c r="L56" s="77" t="n">
        <f aca="false">IF(AND(F56=1,A56&gt;=Impostazioni!$B$8),1,0)</f>
        <v>1</v>
      </c>
      <c r="M56" s="77" t="n">
        <f aca="false">IF(C56=0,3,IF(OR(D56=1,E56=1),2,IF(WEEKDAY(A56,2)&gt;5,1,0)))</f>
        <v>0</v>
      </c>
      <c r="N56" s="77" t="str">
        <f aca="false">IF(OR(I56="A",I56="G"),MAX(N$1:N55)+1,"")</f>
        <v/>
      </c>
    </row>
    <row r="57" customFormat="false" ht="15" hidden="false" customHeight="false" outlineLevel="0" collapsed="false">
      <c r="A57" s="75" t="n">
        <f aca="false">A56+1</f>
        <v>46351</v>
      </c>
      <c r="B57" s="76" t="n">
        <f aca="false">DATE(YEAR(A57),MONTH(A57),1)</f>
        <v>46327</v>
      </c>
      <c r="C57" s="77" t="n">
        <f aca="false">IF(AND(A57&gt;=Impostazioni!$B$4,A57&lt;=Impostazioni!$B$5),1,0)</f>
        <v>1</v>
      </c>
      <c r="D57" s="77" t="n">
        <f aca="false">IF(COUNTIF(Impostazioni!$A$27:$A$56,A57)&gt;0,1,0)</f>
        <v>0</v>
      </c>
      <c r="E57" s="77" t="n">
        <f aca="false">IF(COUNTIFS(Impostazioni!$A$16:$A$23,"&lt;="&amp;A57,Impostazioni!$B$16:$B$23,"&gt;="&amp;A57)&gt;0,1,0)</f>
        <v>0</v>
      </c>
      <c r="F57" s="77" t="n">
        <f aca="false">IF(AND(C57=1,D57=0,E57=0),1,0)</f>
        <v>1</v>
      </c>
      <c r="G57" s="77" t="n">
        <f aca="false">(YEAR(A57)-YEAR(Impostazioni!$B$11))*12+MONTH(A57)-MONTH(Impostazioni!$B$11)</f>
        <v>1</v>
      </c>
      <c r="H57" s="77" t="n">
        <f aca="false">INT((DAY(A57)-1+WEEKDAY(DATE(YEAR(A57),MONTH(A57),1),2)-1)/7)</f>
        <v>4</v>
      </c>
      <c r="I57" s="77" t="str">
        <f aca="false">IF(G57&gt;11,"",INDEX(Calendario!$A$14:$G$193,4+15*G57+2*H57,WEEKDAY(A57,2))&amp;"")</f>
        <v/>
      </c>
      <c r="J57" s="77" t="n">
        <f aca="false">IF(AND(F57=1,I57="A"),1,0)</f>
        <v>0</v>
      </c>
      <c r="K57" s="77" t="n">
        <f aca="false">IF(AND(F57=1,I57="G"),1,0)</f>
        <v>0</v>
      </c>
      <c r="L57" s="77" t="n">
        <f aca="false">IF(AND(F57=1,A57&gt;=Impostazioni!$B$8),1,0)</f>
        <v>1</v>
      </c>
      <c r="M57" s="77" t="n">
        <f aca="false">IF(C57=0,3,IF(OR(D57=1,E57=1),2,IF(WEEKDAY(A57,2)&gt;5,1,0)))</f>
        <v>0</v>
      </c>
      <c r="N57" s="77" t="str">
        <f aca="false">IF(OR(I57="A",I57="G"),MAX(N$1:N56)+1,"")</f>
        <v/>
      </c>
    </row>
    <row r="58" customFormat="false" ht="15" hidden="false" customHeight="false" outlineLevel="0" collapsed="false">
      <c r="A58" s="75" t="n">
        <f aca="false">A57+1</f>
        <v>46352</v>
      </c>
      <c r="B58" s="76" t="n">
        <f aca="false">DATE(YEAR(A58),MONTH(A58),1)</f>
        <v>46327</v>
      </c>
      <c r="C58" s="77" t="n">
        <f aca="false">IF(AND(A58&gt;=Impostazioni!$B$4,A58&lt;=Impostazioni!$B$5),1,0)</f>
        <v>1</v>
      </c>
      <c r="D58" s="77" t="n">
        <f aca="false">IF(COUNTIF(Impostazioni!$A$27:$A$56,A58)&gt;0,1,0)</f>
        <v>0</v>
      </c>
      <c r="E58" s="77" t="n">
        <f aca="false">IF(COUNTIFS(Impostazioni!$A$16:$A$23,"&lt;="&amp;A58,Impostazioni!$B$16:$B$23,"&gt;="&amp;A58)&gt;0,1,0)</f>
        <v>0</v>
      </c>
      <c r="F58" s="77" t="n">
        <f aca="false">IF(AND(C58=1,D58=0,E58=0),1,0)</f>
        <v>1</v>
      </c>
      <c r="G58" s="77" t="n">
        <f aca="false">(YEAR(A58)-YEAR(Impostazioni!$B$11))*12+MONTH(A58)-MONTH(Impostazioni!$B$11)</f>
        <v>1</v>
      </c>
      <c r="H58" s="77" t="n">
        <f aca="false">INT((DAY(A58)-1+WEEKDAY(DATE(YEAR(A58),MONTH(A58),1),2)-1)/7)</f>
        <v>4</v>
      </c>
      <c r="I58" s="77" t="str">
        <f aca="false">IF(G58&gt;11,"",INDEX(Calendario!$A$14:$G$193,4+15*G58+2*H58,WEEKDAY(A58,2))&amp;"")</f>
        <v/>
      </c>
      <c r="J58" s="77" t="n">
        <f aca="false">IF(AND(F58=1,I58="A"),1,0)</f>
        <v>0</v>
      </c>
      <c r="K58" s="77" t="n">
        <f aca="false">IF(AND(F58=1,I58="G"),1,0)</f>
        <v>0</v>
      </c>
      <c r="L58" s="77" t="n">
        <f aca="false">IF(AND(F58=1,A58&gt;=Impostazioni!$B$8),1,0)</f>
        <v>1</v>
      </c>
      <c r="M58" s="77" t="n">
        <f aca="false">IF(C58=0,3,IF(OR(D58=1,E58=1),2,IF(WEEKDAY(A58,2)&gt;5,1,0)))</f>
        <v>0</v>
      </c>
      <c r="N58" s="77" t="str">
        <f aca="false">IF(OR(I58="A",I58="G"),MAX(N$1:N57)+1,"")</f>
        <v/>
      </c>
    </row>
    <row r="59" customFormat="false" ht="15" hidden="false" customHeight="false" outlineLevel="0" collapsed="false">
      <c r="A59" s="75" t="n">
        <f aca="false">A58+1</f>
        <v>46353</v>
      </c>
      <c r="B59" s="76" t="n">
        <f aca="false">DATE(YEAR(A59),MONTH(A59),1)</f>
        <v>46327</v>
      </c>
      <c r="C59" s="77" t="n">
        <f aca="false">IF(AND(A59&gt;=Impostazioni!$B$4,A59&lt;=Impostazioni!$B$5),1,0)</f>
        <v>1</v>
      </c>
      <c r="D59" s="77" t="n">
        <f aca="false">IF(COUNTIF(Impostazioni!$A$27:$A$56,A59)&gt;0,1,0)</f>
        <v>0</v>
      </c>
      <c r="E59" s="77" t="n">
        <f aca="false">IF(COUNTIFS(Impostazioni!$A$16:$A$23,"&lt;="&amp;A59,Impostazioni!$B$16:$B$23,"&gt;="&amp;A59)&gt;0,1,0)</f>
        <v>0</v>
      </c>
      <c r="F59" s="77" t="n">
        <f aca="false">IF(AND(C59=1,D59=0,E59=0),1,0)</f>
        <v>1</v>
      </c>
      <c r="G59" s="77" t="n">
        <f aca="false">(YEAR(A59)-YEAR(Impostazioni!$B$11))*12+MONTH(A59)-MONTH(Impostazioni!$B$11)</f>
        <v>1</v>
      </c>
      <c r="H59" s="77" t="n">
        <f aca="false">INT((DAY(A59)-1+WEEKDAY(DATE(YEAR(A59),MONTH(A59),1),2)-1)/7)</f>
        <v>4</v>
      </c>
      <c r="I59" s="77" t="str">
        <f aca="false">IF(G59&gt;11,"",INDEX(Calendario!$A$14:$G$193,4+15*G59+2*H59,WEEKDAY(A59,2))&amp;"")</f>
        <v/>
      </c>
      <c r="J59" s="77" t="n">
        <f aca="false">IF(AND(F59=1,I59="A"),1,0)</f>
        <v>0</v>
      </c>
      <c r="K59" s="77" t="n">
        <f aca="false">IF(AND(F59=1,I59="G"),1,0)</f>
        <v>0</v>
      </c>
      <c r="L59" s="77" t="n">
        <f aca="false">IF(AND(F59=1,A59&gt;=Impostazioni!$B$8),1,0)</f>
        <v>1</v>
      </c>
      <c r="M59" s="77" t="n">
        <f aca="false">IF(C59=0,3,IF(OR(D59=1,E59=1),2,IF(WEEKDAY(A59,2)&gt;5,1,0)))</f>
        <v>0</v>
      </c>
      <c r="N59" s="77" t="str">
        <f aca="false">IF(OR(I59="A",I59="G"),MAX(N$1:N58)+1,"")</f>
        <v/>
      </c>
    </row>
    <row r="60" customFormat="false" ht="15" hidden="false" customHeight="false" outlineLevel="0" collapsed="false">
      <c r="A60" s="75" t="n">
        <f aca="false">A59+1</f>
        <v>46354</v>
      </c>
      <c r="B60" s="76" t="n">
        <f aca="false">DATE(YEAR(A60),MONTH(A60),1)</f>
        <v>46327</v>
      </c>
      <c r="C60" s="77" t="n">
        <f aca="false">IF(AND(A60&gt;=Impostazioni!$B$4,A60&lt;=Impostazioni!$B$5),1,0)</f>
        <v>1</v>
      </c>
      <c r="D60" s="77" t="n">
        <f aca="false">IF(COUNTIF(Impostazioni!$A$27:$A$56,A60)&gt;0,1,0)</f>
        <v>0</v>
      </c>
      <c r="E60" s="77" t="n">
        <f aca="false">IF(COUNTIFS(Impostazioni!$A$16:$A$23,"&lt;="&amp;A60,Impostazioni!$B$16:$B$23,"&gt;="&amp;A60)&gt;0,1,0)</f>
        <v>0</v>
      </c>
      <c r="F60" s="77" t="n">
        <f aca="false">IF(AND(C60=1,D60=0,E60=0),1,0)</f>
        <v>1</v>
      </c>
      <c r="G60" s="77" t="n">
        <f aca="false">(YEAR(A60)-YEAR(Impostazioni!$B$11))*12+MONTH(A60)-MONTH(Impostazioni!$B$11)</f>
        <v>1</v>
      </c>
      <c r="H60" s="77" t="n">
        <f aca="false">INT((DAY(A60)-1+WEEKDAY(DATE(YEAR(A60),MONTH(A60),1),2)-1)/7)</f>
        <v>4</v>
      </c>
      <c r="I60" s="77" t="str">
        <f aca="false">IF(G60&gt;11,"",INDEX(Calendario!$A$14:$G$193,4+15*G60+2*H60,WEEKDAY(A60,2))&amp;"")</f>
        <v/>
      </c>
      <c r="J60" s="77" t="n">
        <f aca="false">IF(AND(F60=1,I60="A"),1,0)</f>
        <v>0</v>
      </c>
      <c r="K60" s="77" t="n">
        <f aca="false">IF(AND(F60=1,I60="G"),1,0)</f>
        <v>0</v>
      </c>
      <c r="L60" s="77" t="n">
        <f aca="false">IF(AND(F60=1,A60&gt;=Impostazioni!$B$8),1,0)</f>
        <v>1</v>
      </c>
      <c r="M60" s="77" t="n">
        <f aca="false">IF(C60=0,3,IF(OR(D60=1,E60=1),2,IF(WEEKDAY(A60,2)&gt;5,1,0)))</f>
        <v>1</v>
      </c>
      <c r="N60" s="77" t="str">
        <f aca="false">IF(OR(I60="A",I60="G"),MAX(N$1:N59)+1,"")</f>
        <v/>
      </c>
    </row>
    <row r="61" customFormat="false" ht="15" hidden="false" customHeight="false" outlineLevel="0" collapsed="false">
      <c r="A61" s="75" t="n">
        <f aca="false">A60+1</f>
        <v>46355</v>
      </c>
      <c r="B61" s="76" t="n">
        <f aca="false">DATE(YEAR(A61),MONTH(A61),1)</f>
        <v>46327</v>
      </c>
      <c r="C61" s="77" t="n">
        <f aca="false">IF(AND(A61&gt;=Impostazioni!$B$4,A61&lt;=Impostazioni!$B$5),1,0)</f>
        <v>1</v>
      </c>
      <c r="D61" s="77" t="n">
        <f aca="false">IF(COUNTIF(Impostazioni!$A$27:$A$56,A61)&gt;0,1,0)</f>
        <v>0</v>
      </c>
      <c r="E61" s="77" t="n">
        <f aca="false">IF(COUNTIFS(Impostazioni!$A$16:$A$23,"&lt;="&amp;A61,Impostazioni!$B$16:$B$23,"&gt;="&amp;A61)&gt;0,1,0)</f>
        <v>0</v>
      </c>
      <c r="F61" s="77" t="n">
        <f aca="false">IF(AND(C61=1,D61=0,E61=0),1,0)</f>
        <v>1</v>
      </c>
      <c r="G61" s="77" t="n">
        <f aca="false">(YEAR(A61)-YEAR(Impostazioni!$B$11))*12+MONTH(A61)-MONTH(Impostazioni!$B$11)</f>
        <v>1</v>
      </c>
      <c r="H61" s="77" t="n">
        <f aca="false">INT((DAY(A61)-1+WEEKDAY(DATE(YEAR(A61),MONTH(A61),1),2)-1)/7)</f>
        <v>4</v>
      </c>
      <c r="I61" s="77" t="str">
        <f aca="false">IF(G61&gt;11,"",INDEX(Calendario!$A$14:$G$193,4+15*G61+2*H61,WEEKDAY(A61,2))&amp;"")</f>
        <v/>
      </c>
      <c r="J61" s="77" t="n">
        <f aca="false">IF(AND(F61=1,I61="A"),1,0)</f>
        <v>0</v>
      </c>
      <c r="K61" s="77" t="n">
        <f aca="false">IF(AND(F61=1,I61="G"),1,0)</f>
        <v>0</v>
      </c>
      <c r="L61" s="77" t="n">
        <f aca="false">IF(AND(F61=1,A61&gt;=Impostazioni!$B$8),1,0)</f>
        <v>1</v>
      </c>
      <c r="M61" s="77" t="n">
        <f aca="false">IF(C61=0,3,IF(OR(D61=1,E61=1),2,IF(WEEKDAY(A61,2)&gt;5,1,0)))</f>
        <v>1</v>
      </c>
      <c r="N61" s="77" t="str">
        <f aca="false">IF(OR(I61="A",I61="G"),MAX(N$1:N60)+1,"")</f>
        <v/>
      </c>
    </row>
    <row r="62" customFormat="false" ht="15" hidden="false" customHeight="false" outlineLevel="0" collapsed="false">
      <c r="A62" s="75" t="n">
        <f aca="false">A61+1</f>
        <v>46356</v>
      </c>
      <c r="B62" s="76" t="n">
        <f aca="false">DATE(YEAR(A62),MONTH(A62),1)</f>
        <v>46327</v>
      </c>
      <c r="C62" s="77" t="n">
        <f aca="false">IF(AND(A62&gt;=Impostazioni!$B$4,A62&lt;=Impostazioni!$B$5),1,0)</f>
        <v>1</v>
      </c>
      <c r="D62" s="77" t="n">
        <f aca="false">IF(COUNTIF(Impostazioni!$A$27:$A$56,A62)&gt;0,1,0)</f>
        <v>0</v>
      </c>
      <c r="E62" s="77" t="n">
        <f aca="false">IF(COUNTIFS(Impostazioni!$A$16:$A$23,"&lt;="&amp;A62,Impostazioni!$B$16:$B$23,"&gt;="&amp;A62)&gt;0,1,0)</f>
        <v>0</v>
      </c>
      <c r="F62" s="77" t="n">
        <f aca="false">IF(AND(C62=1,D62=0,E62=0),1,0)</f>
        <v>1</v>
      </c>
      <c r="G62" s="77" t="n">
        <f aca="false">(YEAR(A62)-YEAR(Impostazioni!$B$11))*12+MONTH(A62)-MONTH(Impostazioni!$B$11)</f>
        <v>1</v>
      </c>
      <c r="H62" s="77" t="n">
        <f aca="false">INT((DAY(A62)-1+WEEKDAY(DATE(YEAR(A62),MONTH(A62),1),2)-1)/7)</f>
        <v>5</v>
      </c>
      <c r="I62" s="77" t="str">
        <f aca="false">IF(G62&gt;11,"",INDEX(Calendario!$A$14:$G$193,4+15*G62+2*H62,WEEKDAY(A62,2))&amp;"")</f>
        <v/>
      </c>
      <c r="J62" s="77" t="n">
        <f aca="false">IF(AND(F62=1,I62="A"),1,0)</f>
        <v>0</v>
      </c>
      <c r="K62" s="77" t="n">
        <f aca="false">IF(AND(F62=1,I62="G"),1,0)</f>
        <v>0</v>
      </c>
      <c r="L62" s="77" t="n">
        <f aca="false">IF(AND(F62=1,A62&gt;=Impostazioni!$B$8),1,0)</f>
        <v>1</v>
      </c>
      <c r="M62" s="77" t="n">
        <f aca="false">IF(C62=0,3,IF(OR(D62=1,E62=1),2,IF(WEEKDAY(A62,2)&gt;5,1,0)))</f>
        <v>0</v>
      </c>
      <c r="N62" s="77" t="str">
        <f aca="false">IF(OR(I62="A",I62="G"),MAX(N$1:N61)+1,"")</f>
        <v/>
      </c>
    </row>
    <row r="63" customFormat="false" ht="15" hidden="false" customHeight="false" outlineLevel="0" collapsed="false">
      <c r="A63" s="75" t="n">
        <f aca="false">A62+1</f>
        <v>46357</v>
      </c>
      <c r="B63" s="76" t="n">
        <f aca="false">DATE(YEAR(A63),MONTH(A63),1)</f>
        <v>46357</v>
      </c>
      <c r="C63" s="77" t="n">
        <f aca="false">IF(AND(A63&gt;=Impostazioni!$B$4,A63&lt;=Impostazioni!$B$5),1,0)</f>
        <v>1</v>
      </c>
      <c r="D63" s="77" t="n">
        <f aca="false">IF(COUNTIF(Impostazioni!$A$27:$A$56,A63)&gt;0,1,0)</f>
        <v>0</v>
      </c>
      <c r="E63" s="77" t="n">
        <f aca="false">IF(COUNTIFS(Impostazioni!$A$16:$A$23,"&lt;="&amp;A63,Impostazioni!$B$16:$B$23,"&gt;="&amp;A63)&gt;0,1,0)</f>
        <v>0</v>
      </c>
      <c r="F63" s="77" t="n">
        <f aca="false">IF(AND(C63=1,D63=0,E63=0),1,0)</f>
        <v>1</v>
      </c>
      <c r="G63" s="77" t="n">
        <f aca="false">(YEAR(A63)-YEAR(Impostazioni!$B$11))*12+MONTH(A63)-MONTH(Impostazioni!$B$11)</f>
        <v>2</v>
      </c>
      <c r="H63" s="77" t="n">
        <f aca="false">INT((DAY(A63)-1+WEEKDAY(DATE(YEAR(A63),MONTH(A63),1),2)-1)/7)</f>
        <v>0</v>
      </c>
      <c r="I63" s="77" t="str">
        <f aca="false">IF(G63&gt;11,"",INDEX(Calendario!$A$14:$G$193,4+15*G63+2*H63,WEEKDAY(A63,2))&amp;"")</f>
        <v/>
      </c>
      <c r="J63" s="77" t="n">
        <f aca="false">IF(AND(F63=1,I63="A"),1,0)</f>
        <v>0</v>
      </c>
      <c r="K63" s="77" t="n">
        <f aca="false">IF(AND(F63=1,I63="G"),1,0)</f>
        <v>0</v>
      </c>
      <c r="L63" s="77" t="n">
        <f aca="false">IF(AND(F63=1,A63&gt;=Impostazioni!$B$8),1,0)</f>
        <v>1</v>
      </c>
      <c r="M63" s="77" t="n">
        <f aca="false">IF(C63=0,3,IF(OR(D63=1,E63=1),2,IF(WEEKDAY(A63,2)&gt;5,1,0)))</f>
        <v>0</v>
      </c>
      <c r="N63" s="77" t="str">
        <f aca="false">IF(OR(I63="A",I63="G"),MAX(N$1:N62)+1,"")</f>
        <v/>
      </c>
    </row>
    <row r="64" customFormat="false" ht="15" hidden="false" customHeight="false" outlineLevel="0" collapsed="false">
      <c r="A64" s="75" t="n">
        <f aca="false">A63+1</f>
        <v>46358</v>
      </c>
      <c r="B64" s="76" t="n">
        <f aca="false">DATE(YEAR(A64),MONTH(A64),1)</f>
        <v>46357</v>
      </c>
      <c r="C64" s="77" t="n">
        <f aca="false">IF(AND(A64&gt;=Impostazioni!$B$4,A64&lt;=Impostazioni!$B$5),1,0)</f>
        <v>1</v>
      </c>
      <c r="D64" s="77" t="n">
        <f aca="false">IF(COUNTIF(Impostazioni!$A$27:$A$56,A64)&gt;0,1,0)</f>
        <v>0</v>
      </c>
      <c r="E64" s="77" t="n">
        <f aca="false">IF(COUNTIFS(Impostazioni!$A$16:$A$23,"&lt;="&amp;A64,Impostazioni!$B$16:$B$23,"&gt;="&amp;A64)&gt;0,1,0)</f>
        <v>0</v>
      </c>
      <c r="F64" s="77" t="n">
        <f aca="false">IF(AND(C64=1,D64=0,E64=0),1,0)</f>
        <v>1</v>
      </c>
      <c r="G64" s="77" t="n">
        <f aca="false">(YEAR(A64)-YEAR(Impostazioni!$B$11))*12+MONTH(A64)-MONTH(Impostazioni!$B$11)</f>
        <v>2</v>
      </c>
      <c r="H64" s="77" t="n">
        <f aca="false">INT((DAY(A64)-1+WEEKDAY(DATE(YEAR(A64),MONTH(A64),1),2)-1)/7)</f>
        <v>0</v>
      </c>
      <c r="I64" s="77" t="str">
        <f aca="false">IF(G64&gt;11,"",INDEX(Calendario!$A$14:$G$193,4+15*G64+2*H64,WEEKDAY(A64,2))&amp;"")</f>
        <v/>
      </c>
      <c r="J64" s="77" t="n">
        <f aca="false">IF(AND(F64=1,I64="A"),1,0)</f>
        <v>0</v>
      </c>
      <c r="K64" s="77" t="n">
        <f aca="false">IF(AND(F64=1,I64="G"),1,0)</f>
        <v>0</v>
      </c>
      <c r="L64" s="77" t="n">
        <f aca="false">IF(AND(F64=1,A64&gt;=Impostazioni!$B$8),1,0)</f>
        <v>1</v>
      </c>
      <c r="M64" s="77" t="n">
        <f aca="false">IF(C64=0,3,IF(OR(D64=1,E64=1),2,IF(WEEKDAY(A64,2)&gt;5,1,0)))</f>
        <v>0</v>
      </c>
      <c r="N64" s="77" t="str">
        <f aca="false">IF(OR(I64="A",I64="G"),MAX(N$1:N63)+1,"")</f>
        <v/>
      </c>
    </row>
    <row r="65" customFormat="false" ht="15" hidden="false" customHeight="false" outlineLevel="0" collapsed="false">
      <c r="A65" s="75" t="n">
        <f aca="false">A64+1</f>
        <v>46359</v>
      </c>
      <c r="B65" s="76" t="n">
        <f aca="false">DATE(YEAR(A65),MONTH(A65),1)</f>
        <v>46357</v>
      </c>
      <c r="C65" s="77" t="n">
        <f aca="false">IF(AND(A65&gt;=Impostazioni!$B$4,A65&lt;=Impostazioni!$B$5),1,0)</f>
        <v>1</v>
      </c>
      <c r="D65" s="77" t="n">
        <f aca="false">IF(COUNTIF(Impostazioni!$A$27:$A$56,A65)&gt;0,1,0)</f>
        <v>0</v>
      </c>
      <c r="E65" s="77" t="n">
        <f aca="false">IF(COUNTIFS(Impostazioni!$A$16:$A$23,"&lt;="&amp;A65,Impostazioni!$B$16:$B$23,"&gt;="&amp;A65)&gt;0,1,0)</f>
        <v>0</v>
      </c>
      <c r="F65" s="77" t="n">
        <f aca="false">IF(AND(C65=1,D65=0,E65=0),1,0)</f>
        <v>1</v>
      </c>
      <c r="G65" s="77" t="n">
        <f aca="false">(YEAR(A65)-YEAR(Impostazioni!$B$11))*12+MONTH(A65)-MONTH(Impostazioni!$B$11)</f>
        <v>2</v>
      </c>
      <c r="H65" s="77" t="n">
        <f aca="false">INT((DAY(A65)-1+WEEKDAY(DATE(YEAR(A65),MONTH(A65),1),2)-1)/7)</f>
        <v>0</v>
      </c>
      <c r="I65" s="77" t="str">
        <f aca="false">IF(G65&gt;11,"",INDEX(Calendario!$A$14:$G$193,4+15*G65+2*H65,WEEKDAY(A65,2))&amp;"")</f>
        <v/>
      </c>
      <c r="J65" s="77" t="n">
        <f aca="false">IF(AND(F65=1,I65="A"),1,0)</f>
        <v>0</v>
      </c>
      <c r="K65" s="77" t="n">
        <f aca="false">IF(AND(F65=1,I65="G"),1,0)</f>
        <v>0</v>
      </c>
      <c r="L65" s="77" t="n">
        <f aca="false">IF(AND(F65=1,A65&gt;=Impostazioni!$B$8),1,0)</f>
        <v>1</v>
      </c>
      <c r="M65" s="77" t="n">
        <f aca="false">IF(C65=0,3,IF(OR(D65=1,E65=1),2,IF(WEEKDAY(A65,2)&gt;5,1,0)))</f>
        <v>0</v>
      </c>
      <c r="N65" s="77" t="str">
        <f aca="false">IF(OR(I65="A",I65="G"),MAX(N$1:N64)+1,"")</f>
        <v/>
      </c>
    </row>
    <row r="66" customFormat="false" ht="15" hidden="false" customHeight="false" outlineLevel="0" collapsed="false">
      <c r="A66" s="75" t="n">
        <f aca="false">A65+1</f>
        <v>46360</v>
      </c>
      <c r="B66" s="76" t="n">
        <f aca="false">DATE(YEAR(A66),MONTH(A66),1)</f>
        <v>46357</v>
      </c>
      <c r="C66" s="77" t="n">
        <f aca="false">IF(AND(A66&gt;=Impostazioni!$B$4,A66&lt;=Impostazioni!$B$5),1,0)</f>
        <v>1</v>
      </c>
      <c r="D66" s="77" t="n">
        <f aca="false">IF(COUNTIF(Impostazioni!$A$27:$A$56,A66)&gt;0,1,0)</f>
        <v>0</v>
      </c>
      <c r="E66" s="77" t="n">
        <f aca="false">IF(COUNTIFS(Impostazioni!$A$16:$A$23,"&lt;="&amp;A66,Impostazioni!$B$16:$B$23,"&gt;="&amp;A66)&gt;0,1,0)</f>
        <v>0</v>
      </c>
      <c r="F66" s="77" t="n">
        <f aca="false">IF(AND(C66=1,D66=0,E66=0),1,0)</f>
        <v>1</v>
      </c>
      <c r="G66" s="77" t="n">
        <f aca="false">(YEAR(A66)-YEAR(Impostazioni!$B$11))*12+MONTH(A66)-MONTH(Impostazioni!$B$11)</f>
        <v>2</v>
      </c>
      <c r="H66" s="77" t="n">
        <f aca="false">INT((DAY(A66)-1+WEEKDAY(DATE(YEAR(A66),MONTH(A66),1),2)-1)/7)</f>
        <v>0</v>
      </c>
      <c r="I66" s="77" t="str">
        <f aca="false">IF(G66&gt;11,"",INDEX(Calendario!$A$14:$G$193,4+15*G66+2*H66,WEEKDAY(A66,2))&amp;"")</f>
        <v/>
      </c>
      <c r="J66" s="77" t="n">
        <f aca="false">IF(AND(F66=1,I66="A"),1,0)</f>
        <v>0</v>
      </c>
      <c r="K66" s="77" t="n">
        <f aca="false">IF(AND(F66=1,I66="G"),1,0)</f>
        <v>0</v>
      </c>
      <c r="L66" s="77" t="n">
        <f aca="false">IF(AND(F66=1,A66&gt;=Impostazioni!$B$8),1,0)</f>
        <v>1</v>
      </c>
      <c r="M66" s="77" t="n">
        <f aca="false">IF(C66=0,3,IF(OR(D66=1,E66=1),2,IF(WEEKDAY(A66,2)&gt;5,1,0)))</f>
        <v>0</v>
      </c>
      <c r="N66" s="77" t="str">
        <f aca="false">IF(OR(I66="A",I66="G"),MAX(N$1:N65)+1,"")</f>
        <v/>
      </c>
    </row>
    <row r="67" customFormat="false" ht="15" hidden="false" customHeight="false" outlineLevel="0" collapsed="false">
      <c r="A67" s="75" t="n">
        <f aca="false">A66+1</f>
        <v>46361</v>
      </c>
      <c r="B67" s="76" t="n">
        <f aca="false">DATE(YEAR(A67),MONTH(A67),1)</f>
        <v>46357</v>
      </c>
      <c r="C67" s="77" t="n">
        <f aca="false">IF(AND(A67&gt;=Impostazioni!$B$4,A67&lt;=Impostazioni!$B$5),1,0)</f>
        <v>1</v>
      </c>
      <c r="D67" s="77" t="n">
        <f aca="false">IF(COUNTIF(Impostazioni!$A$27:$A$56,A67)&gt;0,1,0)</f>
        <v>0</v>
      </c>
      <c r="E67" s="77" t="n">
        <f aca="false">IF(COUNTIFS(Impostazioni!$A$16:$A$23,"&lt;="&amp;A67,Impostazioni!$B$16:$B$23,"&gt;="&amp;A67)&gt;0,1,0)</f>
        <v>0</v>
      </c>
      <c r="F67" s="77" t="n">
        <f aca="false">IF(AND(C67=1,D67=0,E67=0),1,0)</f>
        <v>1</v>
      </c>
      <c r="G67" s="77" t="n">
        <f aca="false">(YEAR(A67)-YEAR(Impostazioni!$B$11))*12+MONTH(A67)-MONTH(Impostazioni!$B$11)</f>
        <v>2</v>
      </c>
      <c r="H67" s="77" t="n">
        <f aca="false">INT((DAY(A67)-1+WEEKDAY(DATE(YEAR(A67),MONTH(A67),1),2)-1)/7)</f>
        <v>0</v>
      </c>
      <c r="I67" s="77" t="str">
        <f aca="false">IF(G67&gt;11,"",INDEX(Calendario!$A$14:$G$193,4+15*G67+2*H67,WEEKDAY(A67,2))&amp;"")</f>
        <v/>
      </c>
      <c r="J67" s="77" t="n">
        <f aca="false">IF(AND(F67=1,I67="A"),1,0)</f>
        <v>0</v>
      </c>
      <c r="K67" s="77" t="n">
        <f aca="false">IF(AND(F67=1,I67="G"),1,0)</f>
        <v>0</v>
      </c>
      <c r="L67" s="77" t="n">
        <f aca="false">IF(AND(F67=1,A67&gt;=Impostazioni!$B$8),1,0)</f>
        <v>1</v>
      </c>
      <c r="M67" s="77" t="n">
        <f aca="false">IF(C67=0,3,IF(OR(D67=1,E67=1),2,IF(WEEKDAY(A67,2)&gt;5,1,0)))</f>
        <v>1</v>
      </c>
      <c r="N67" s="77" t="str">
        <f aca="false">IF(OR(I67="A",I67="G"),MAX(N$1:N66)+1,"")</f>
        <v/>
      </c>
    </row>
    <row r="68" customFormat="false" ht="15" hidden="false" customHeight="false" outlineLevel="0" collapsed="false">
      <c r="A68" s="75" t="n">
        <f aca="false">A67+1</f>
        <v>46362</v>
      </c>
      <c r="B68" s="76" t="n">
        <f aca="false">DATE(YEAR(A68),MONTH(A68),1)</f>
        <v>46357</v>
      </c>
      <c r="C68" s="77" t="n">
        <f aca="false">IF(AND(A68&gt;=Impostazioni!$B$4,A68&lt;=Impostazioni!$B$5),1,0)</f>
        <v>1</v>
      </c>
      <c r="D68" s="77" t="n">
        <f aca="false">IF(COUNTIF(Impostazioni!$A$27:$A$56,A68)&gt;0,1,0)</f>
        <v>0</v>
      </c>
      <c r="E68" s="77" t="n">
        <f aca="false">IF(COUNTIFS(Impostazioni!$A$16:$A$23,"&lt;="&amp;A68,Impostazioni!$B$16:$B$23,"&gt;="&amp;A68)&gt;0,1,0)</f>
        <v>0</v>
      </c>
      <c r="F68" s="77" t="n">
        <f aca="false">IF(AND(C68=1,D68=0,E68=0),1,0)</f>
        <v>1</v>
      </c>
      <c r="G68" s="77" t="n">
        <f aca="false">(YEAR(A68)-YEAR(Impostazioni!$B$11))*12+MONTH(A68)-MONTH(Impostazioni!$B$11)</f>
        <v>2</v>
      </c>
      <c r="H68" s="77" t="n">
        <f aca="false">INT((DAY(A68)-1+WEEKDAY(DATE(YEAR(A68),MONTH(A68),1),2)-1)/7)</f>
        <v>0</v>
      </c>
      <c r="I68" s="77" t="str">
        <f aca="false">IF(G68&gt;11,"",INDEX(Calendario!$A$14:$G$193,4+15*G68+2*H68,WEEKDAY(A68,2))&amp;"")</f>
        <v/>
      </c>
      <c r="J68" s="77" t="n">
        <f aca="false">IF(AND(F68=1,I68="A"),1,0)</f>
        <v>0</v>
      </c>
      <c r="K68" s="77" t="n">
        <f aca="false">IF(AND(F68=1,I68="G"),1,0)</f>
        <v>0</v>
      </c>
      <c r="L68" s="77" t="n">
        <f aca="false">IF(AND(F68=1,A68&gt;=Impostazioni!$B$8),1,0)</f>
        <v>1</v>
      </c>
      <c r="M68" s="77" t="n">
        <f aca="false">IF(C68=0,3,IF(OR(D68=1,E68=1),2,IF(WEEKDAY(A68,2)&gt;5,1,0)))</f>
        <v>1</v>
      </c>
      <c r="N68" s="77" t="str">
        <f aca="false">IF(OR(I68="A",I68="G"),MAX(N$1:N67)+1,"")</f>
        <v/>
      </c>
    </row>
    <row r="69" customFormat="false" ht="15" hidden="false" customHeight="false" outlineLevel="0" collapsed="false">
      <c r="A69" s="75" t="n">
        <f aca="false">A68+1</f>
        <v>46363</v>
      </c>
      <c r="B69" s="76" t="n">
        <f aca="false">DATE(YEAR(A69),MONTH(A69),1)</f>
        <v>46357</v>
      </c>
      <c r="C69" s="77" t="n">
        <f aca="false">IF(AND(A69&gt;=Impostazioni!$B$4,A69&lt;=Impostazioni!$B$5),1,0)</f>
        <v>1</v>
      </c>
      <c r="D69" s="77" t="n">
        <f aca="false">IF(COUNTIF(Impostazioni!$A$27:$A$56,A69)&gt;0,1,0)</f>
        <v>0</v>
      </c>
      <c r="E69" s="77" t="n">
        <f aca="false">IF(COUNTIFS(Impostazioni!$A$16:$A$23,"&lt;="&amp;A69,Impostazioni!$B$16:$B$23,"&gt;="&amp;A69)&gt;0,1,0)</f>
        <v>0</v>
      </c>
      <c r="F69" s="77" t="n">
        <f aca="false">IF(AND(C69=1,D69=0,E69=0),1,0)</f>
        <v>1</v>
      </c>
      <c r="G69" s="77" t="n">
        <f aca="false">(YEAR(A69)-YEAR(Impostazioni!$B$11))*12+MONTH(A69)-MONTH(Impostazioni!$B$11)</f>
        <v>2</v>
      </c>
      <c r="H69" s="77" t="n">
        <f aca="false">INT((DAY(A69)-1+WEEKDAY(DATE(YEAR(A69),MONTH(A69),1),2)-1)/7)</f>
        <v>1</v>
      </c>
      <c r="I69" s="77" t="str">
        <f aca="false">IF(G69&gt;11,"",INDEX(Calendario!$A$14:$G$193,4+15*G69+2*H69,WEEKDAY(A69,2))&amp;"")</f>
        <v/>
      </c>
      <c r="J69" s="77" t="n">
        <f aca="false">IF(AND(F69=1,I69="A"),1,0)</f>
        <v>0</v>
      </c>
      <c r="K69" s="77" t="n">
        <f aca="false">IF(AND(F69=1,I69="G"),1,0)</f>
        <v>0</v>
      </c>
      <c r="L69" s="77" t="n">
        <f aca="false">IF(AND(F69=1,A69&gt;=Impostazioni!$B$8),1,0)</f>
        <v>1</v>
      </c>
      <c r="M69" s="77" t="n">
        <f aca="false">IF(C69=0,3,IF(OR(D69=1,E69=1),2,IF(WEEKDAY(A69,2)&gt;5,1,0)))</f>
        <v>0</v>
      </c>
      <c r="N69" s="77" t="str">
        <f aca="false">IF(OR(I69="A",I69="G"),MAX(N$1:N68)+1,"")</f>
        <v/>
      </c>
    </row>
    <row r="70" customFormat="false" ht="15" hidden="false" customHeight="false" outlineLevel="0" collapsed="false">
      <c r="A70" s="75" t="n">
        <f aca="false">A69+1</f>
        <v>46364</v>
      </c>
      <c r="B70" s="76" t="n">
        <f aca="false">DATE(YEAR(A70),MONTH(A70),1)</f>
        <v>46357</v>
      </c>
      <c r="C70" s="77" t="n">
        <f aca="false">IF(AND(A70&gt;=Impostazioni!$B$4,A70&lt;=Impostazioni!$B$5),1,0)</f>
        <v>1</v>
      </c>
      <c r="D70" s="77" t="n">
        <f aca="false">IF(COUNTIF(Impostazioni!$A$27:$A$56,A70)&gt;0,1,0)</f>
        <v>1</v>
      </c>
      <c r="E70" s="77" t="n">
        <f aca="false">IF(COUNTIFS(Impostazioni!$A$16:$A$23,"&lt;="&amp;A70,Impostazioni!$B$16:$B$23,"&gt;="&amp;A70)&gt;0,1,0)</f>
        <v>0</v>
      </c>
      <c r="F70" s="77" t="n">
        <f aca="false">IF(AND(C70=1,D70=0,E70=0),1,0)</f>
        <v>0</v>
      </c>
      <c r="G70" s="77" t="n">
        <f aca="false">(YEAR(A70)-YEAR(Impostazioni!$B$11))*12+MONTH(A70)-MONTH(Impostazioni!$B$11)</f>
        <v>2</v>
      </c>
      <c r="H70" s="77" t="n">
        <f aca="false">INT((DAY(A70)-1+WEEKDAY(DATE(YEAR(A70),MONTH(A70),1),2)-1)/7)</f>
        <v>1</v>
      </c>
      <c r="I70" s="77" t="str">
        <f aca="false">IF(G70&gt;11,"",INDEX(Calendario!$A$14:$G$193,4+15*G70+2*H70,WEEKDAY(A70,2))&amp;"")</f>
        <v/>
      </c>
      <c r="J70" s="77" t="n">
        <f aca="false">IF(AND(F70=1,I70="A"),1,0)</f>
        <v>0</v>
      </c>
      <c r="K70" s="77" t="n">
        <f aca="false">IF(AND(F70=1,I70="G"),1,0)</f>
        <v>0</v>
      </c>
      <c r="L70" s="77" t="n">
        <f aca="false">IF(AND(F70=1,A70&gt;=Impostazioni!$B$8),1,0)</f>
        <v>0</v>
      </c>
      <c r="M70" s="77" t="n">
        <f aca="false">IF(C70=0,3,IF(OR(D70=1,E70=1),2,IF(WEEKDAY(A70,2)&gt;5,1,0)))</f>
        <v>2</v>
      </c>
      <c r="N70" s="77" t="str">
        <f aca="false">IF(OR(I70="A",I70="G"),MAX(N$1:N69)+1,"")</f>
        <v/>
      </c>
    </row>
    <row r="71" customFormat="false" ht="15" hidden="false" customHeight="false" outlineLevel="0" collapsed="false">
      <c r="A71" s="75" t="n">
        <f aca="false">A70+1</f>
        <v>46365</v>
      </c>
      <c r="B71" s="76" t="n">
        <f aca="false">DATE(YEAR(A71),MONTH(A71),1)</f>
        <v>46357</v>
      </c>
      <c r="C71" s="77" t="n">
        <f aca="false">IF(AND(A71&gt;=Impostazioni!$B$4,A71&lt;=Impostazioni!$B$5),1,0)</f>
        <v>1</v>
      </c>
      <c r="D71" s="77" t="n">
        <f aca="false">IF(COUNTIF(Impostazioni!$A$27:$A$56,A71)&gt;0,1,0)</f>
        <v>0</v>
      </c>
      <c r="E71" s="77" t="n">
        <f aca="false">IF(COUNTIFS(Impostazioni!$A$16:$A$23,"&lt;="&amp;A71,Impostazioni!$B$16:$B$23,"&gt;="&amp;A71)&gt;0,1,0)</f>
        <v>0</v>
      </c>
      <c r="F71" s="77" t="n">
        <f aca="false">IF(AND(C71=1,D71=0,E71=0),1,0)</f>
        <v>1</v>
      </c>
      <c r="G71" s="77" t="n">
        <f aca="false">(YEAR(A71)-YEAR(Impostazioni!$B$11))*12+MONTH(A71)-MONTH(Impostazioni!$B$11)</f>
        <v>2</v>
      </c>
      <c r="H71" s="77" t="n">
        <f aca="false">INT((DAY(A71)-1+WEEKDAY(DATE(YEAR(A71),MONTH(A71),1),2)-1)/7)</f>
        <v>1</v>
      </c>
      <c r="I71" s="77" t="str">
        <f aca="false">IF(G71&gt;11,"",INDEX(Calendario!$A$14:$G$193,4+15*G71+2*H71,WEEKDAY(A71,2))&amp;"")</f>
        <v/>
      </c>
      <c r="J71" s="77" t="n">
        <f aca="false">IF(AND(F71=1,I71="A"),1,0)</f>
        <v>0</v>
      </c>
      <c r="K71" s="77" t="n">
        <f aca="false">IF(AND(F71=1,I71="G"),1,0)</f>
        <v>0</v>
      </c>
      <c r="L71" s="77" t="n">
        <f aca="false">IF(AND(F71=1,A71&gt;=Impostazioni!$B$8),1,0)</f>
        <v>1</v>
      </c>
      <c r="M71" s="77" t="n">
        <f aca="false">IF(C71=0,3,IF(OR(D71=1,E71=1),2,IF(WEEKDAY(A71,2)&gt;5,1,0)))</f>
        <v>0</v>
      </c>
      <c r="N71" s="77" t="str">
        <f aca="false">IF(OR(I71="A",I71="G"),MAX(N$1:N70)+1,"")</f>
        <v/>
      </c>
    </row>
    <row r="72" customFormat="false" ht="15" hidden="false" customHeight="false" outlineLevel="0" collapsed="false">
      <c r="A72" s="75" t="n">
        <f aca="false">A71+1</f>
        <v>46366</v>
      </c>
      <c r="B72" s="76" t="n">
        <f aca="false">DATE(YEAR(A72),MONTH(A72),1)</f>
        <v>46357</v>
      </c>
      <c r="C72" s="77" t="n">
        <f aca="false">IF(AND(A72&gt;=Impostazioni!$B$4,A72&lt;=Impostazioni!$B$5),1,0)</f>
        <v>1</v>
      </c>
      <c r="D72" s="77" t="n">
        <f aca="false">IF(COUNTIF(Impostazioni!$A$27:$A$56,A72)&gt;0,1,0)</f>
        <v>0</v>
      </c>
      <c r="E72" s="77" t="n">
        <f aca="false">IF(COUNTIFS(Impostazioni!$A$16:$A$23,"&lt;="&amp;A72,Impostazioni!$B$16:$B$23,"&gt;="&amp;A72)&gt;0,1,0)</f>
        <v>0</v>
      </c>
      <c r="F72" s="77" t="n">
        <f aca="false">IF(AND(C72=1,D72=0,E72=0),1,0)</f>
        <v>1</v>
      </c>
      <c r="G72" s="77" t="n">
        <f aca="false">(YEAR(A72)-YEAR(Impostazioni!$B$11))*12+MONTH(A72)-MONTH(Impostazioni!$B$11)</f>
        <v>2</v>
      </c>
      <c r="H72" s="77" t="n">
        <f aca="false">INT((DAY(A72)-1+WEEKDAY(DATE(YEAR(A72),MONTH(A72),1),2)-1)/7)</f>
        <v>1</v>
      </c>
      <c r="I72" s="77" t="str">
        <f aca="false">IF(G72&gt;11,"",INDEX(Calendario!$A$14:$G$193,4+15*G72+2*H72,WEEKDAY(A72,2))&amp;"")</f>
        <v/>
      </c>
      <c r="J72" s="77" t="n">
        <f aca="false">IF(AND(F72=1,I72="A"),1,0)</f>
        <v>0</v>
      </c>
      <c r="K72" s="77" t="n">
        <f aca="false">IF(AND(F72=1,I72="G"),1,0)</f>
        <v>0</v>
      </c>
      <c r="L72" s="77" t="n">
        <f aca="false">IF(AND(F72=1,A72&gt;=Impostazioni!$B$8),1,0)</f>
        <v>1</v>
      </c>
      <c r="M72" s="77" t="n">
        <f aca="false">IF(C72=0,3,IF(OR(D72=1,E72=1),2,IF(WEEKDAY(A72,2)&gt;5,1,0)))</f>
        <v>0</v>
      </c>
      <c r="N72" s="77" t="str">
        <f aca="false">IF(OR(I72="A",I72="G"),MAX(N$1:N71)+1,"")</f>
        <v/>
      </c>
    </row>
    <row r="73" customFormat="false" ht="15" hidden="false" customHeight="false" outlineLevel="0" collapsed="false">
      <c r="A73" s="75" t="n">
        <f aca="false">A72+1</f>
        <v>46367</v>
      </c>
      <c r="B73" s="76" t="n">
        <f aca="false">DATE(YEAR(A73),MONTH(A73),1)</f>
        <v>46357</v>
      </c>
      <c r="C73" s="77" t="n">
        <f aca="false">IF(AND(A73&gt;=Impostazioni!$B$4,A73&lt;=Impostazioni!$B$5),1,0)</f>
        <v>1</v>
      </c>
      <c r="D73" s="77" t="n">
        <f aca="false">IF(COUNTIF(Impostazioni!$A$27:$A$56,A73)&gt;0,1,0)</f>
        <v>0</v>
      </c>
      <c r="E73" s="77" t="n">
        <f aca="false">IF(COUNTIFS(Impostazioni!$A$16:$A$23,"&lt;="&amp;A73,Impostazioni!$B$16:$B$23,"&gt;="&amp;A73)&gt;0,1,0)</f>
        <v>0</v>
      </c>
      <c r="F73" s="77" t="n">
        <f aca="false">IF(AND(C73=1,D73=0,E73=0),1,0)</f>
        <v>1</v>
      </c>
      <c r="G73" s="77" t="n">
        <f aca="false">(YEAR(A73)-YEAR(Impostazioni!$B$11))*12+MONTH(A73)-MONTH(Impostazioni!$B$11)</f>
        <v>2</v>
      </c>
      <c r="H73" s="77" t="n">
        <f aca="false">INT((DAY(A73)-1+WEEKDAY(DATE(YEAR(A73),MONTH(A73),1),2)-1)/7)</f>
        <v>1</v>
      </c>
      <c r="I73" s="77" t="str">
        <f aca="false">IF(G73&gt;11,"",INDEX(Calendario!$A$14:$G$193,4+15*G73+2*H73,WEEKDAY(A73,2))&amp;"")</f>
        <v/>
      </c>
      <c r="J73" s="77" t="n">
        <f aca="false">IF(AND(F73=1,I73="A"),1,0)</f>
        <v>0</v>
      </c>
      <c r="K73" s="77" t="n">
        <f aca="false">IF(AND(F73=1,I73="G"),1,0)</f>
        <v>0</v>
      </c>
      <c r="L73" s="77" t="n">
        <f aca="false">IF(AND(F73=1,A73&gt;=Impostazioni!$B$8),1,0)</f>
        <v>1</v>
      </c>
      <c r="M73" s="77" t="n">
        <f aca="false">IF(C73=0,3,IF(OR(D73=1,E73=1),2,IF(WEEKDAY(A73,2)&gt;5,1,0)))</f>
        <v>0</v>
      </c>
      <c r="N73" s="77" t="str">
        <f aca="false">IF(OR(I73="A",I73="G"),MAX(N$1:N72)+1,"")</f>
        <v/>
      </c>
    </row>
    <row r="74" customFormat="false" ht="15" hidden="false" customHeight="false" outlineLevel="0" collapsed="false">
      <c r="A74" s="75" t="n">
        <f aca="false">A73+1</f>
        <v>46368</v>
      </c>
      <c r="B74" s="76" t="n">
        <f aca="false">DATE(YEAR(A74),MONTH(A74),1)</f>
        <v>46357</v>
      </c>
      <c r="C74" s="77" t="n">
        <f aca="false">IF(AND(A74&gt;=Impostazioni!$B$4,A74&lt;=Impostazioni!$B$5),1,0)</f>
        <v>1</v>
      </c>
      <c r="D74" s="77" t="n">
        <f aca="false">IF(COUNTIF(Impostazioni!$A$27:$A$56,A74)&gt;0,1,0)</f>
        <v>0</v>
      </c>
      <c r="E74" s="77" t="n">
        <f aca="false">IF(COUNTIFS(Impostazioni!$A$16:$A$23,"&lt;="&amp;A74,Impostazioni!$B$16:$B$23,"&gt;="&amp;A74)&gt;0,1,0)</f>
        <v>0</v>
      </c>
      <c r="F74" s="77" t="n">
        <f aca="false">IF(AND(C74=1,D74=0,E74=0),1,0)</f>
        <v>1</v>
      </c>
      <c r="G74" s="77" t="n">
        <f aca="false">(YEAR(A74)-YEAR(Impostazioni!$B$11))*12+MONTH(A74)-MONTH(Impostazioni!$B$11)</f>
        <v>2</v>
      </c>
      <c r="H74" s="77" t="n">
        <f aca="false">INT((DAY(A74)-1+WEEKDAY(DATE(YEAR(A74),MONTH(A74),1),2)-1)/7)</f>
        <v>1</v>
      </c>
      <c r="I74" s="77" t="str">
        <f aca="false">IF(G74&gt;11,"",INDEX(Calendario!$A$14:$G$193,4+15*G74+2*H74,WEEKDAY(A74,2))&amp;"")</f>
        <v/>
      </c>
      <c r="J74" s="77" t="n">
        <f aca="false">IF(AND(F74=1,I74="A"),1,0)</f>
        <v>0</v>
      </c>
      <c r="K74" s="77" t="n">
        <f aca="false">IF(AND(F74=1,I74="G"),1,0)</f>
        <v>0</v>
      </c>
      <c r="L74" s="77" t="n">
        <f aca="false">IF(AND(F74=1,A74&gt;=Impostazioni!$B$8),1,0)</f>
        <v>1</v>
      </c>
      <c r="M74" s="77" t="n">
        <f aca="false">IF(C74=0,3,IF(OR(D74=1,E74=1),2,IF(WEEKDAY(A74,2)&gt;5,1,0)))</f>
        <v>1</v>
      </c>
      <c r="N74" s="77" t="str">
        <f aca="false">IF(OR(I74="A",I74="G"),MAX(N$1:N73)+1,"")</f>
        <v/>
      </c>
    </row>
    <row r="75" customFormat="false" ht="15" hidden="false" customHeight="false" outlineLevel="0" collapsed="false">
      <c r="A75" s="75" t="n">
        <f aca="false">A74+1</f>
        <v>46369</v>
      </c>
      <c r="B75" s="76" t="n">
        <f aca="false">DATE(YEAR(A75),MONTH(A75),1)</f>
        <v>46357</v>
      </c>
      <c r="C75" s="77" t="n">
        <f aca="false">IF(AND(A75&gt;=Impostazioni!$B$4,A75&lt;=Impostazioni!$B$5),1,0)</f>
        <v>1</v>
      </c>
      <c r="D75" s="77" t="n">
        <f aca="false">IF(COUNTIF(Impostazioni!$A$27:$A$56,A75)&gt;0,1,0)</f>
        <v>0</v>
      </c>
      <c r="E75" s="77" t="n">
        <f aca="false">IF(COUNTIFS(Impostazioni!$A$16:$A$23,"&lt;="&amp;A75,Impostazioni!$B$16:$B$23,"&gt;="&amp;A75)&gt;0,1,0)</f>
        <v>0</v>
      </c>
      <c r="F75" s="77" t="n">
        <f aca="false">IF(AND(C75=1,D75=0,E75=0),1,0)</f>
        <v>1</v>
      </c>
      <c r="G75" s="77" t="n">
        <f aca="false">(YEAR(A75)-YEAR(Impostazioni!$B$11))*12+MONTH(A75)-MONTH(Impostazioni!$B$11)</f>
        <v>2</v>
      </c>
      <c r="H75" s="77" t="n">
        <f aca="false">INT((DAY(A75)-1+WEEKDAY(DATE(YEAR(A75),MONTH(A75),1),2)-1)/7)</f>
        <v>1</v>
      </c>
      <c r="I75" s="77" t="str">
        <f aca="false">IF(G75&gt;11,"",INDEX(Calendario!$A$14:$G$193,4+15*G75+2*H75,WEEKDAY(A75,2))&amp;"")</f>
        <v/>
      </c>
      <c r="J75" s="77" t="n">
        <f aca="false">IF(AND(F75=1,I75="A"),1,0)</f>
        <v>0</v>
      </c>
      <c r="K75" s="77" t="n">
        <f aca="false">IF(AND(F75=1,I75="G"),1,0)</f>
        <v>0</v>
      </c>
      <c r="L75" s="77" t="n">
        <f aca="false">IF(AND(F75=1,A75&gt;=Impostazioni!$B$8),1,0)</f>
        <v>1</v>
      </c>
      <c r="M75" s="77" t="n">
        <f aca="false">IF(C75=0,3,IF(OR(D75=1,E75=1),2,IF(WEEKDAY(A75,2)&gt;5,1,0)))</f>
        <v>1</v>
      </c>
      <c r="N75" s="77" t="str">
        <f aca="false">IF(OR(I75="A",I75="G"),MAX(N$1:N74)+1,"")</f>
        <v/>
      </c>
    </row>
    <row r="76" customFormat="false" ht="15" hidden="false" customHeight="false" outlineLevel="0" collapsed="false">
      <c r="A76" s="75" t="n">
        <f aca="false">A75+1</f>
        <v>46370</v>
      </c>
      <c r="B76" s="76" t="n">
        <f aca="false">DATE(YEAR(A76),MONTH(A76),1)</f>
        <v>46357</v>
      </c>
      <c r="C76" s="77" t="n">
        <f aca="false">IF(AND(A76&gt;=Impostazioni!$B$4,A76&lt;=Impostazioni!$B$5),1,0)</f>
        <v>1</v>
      </c>
      <c r="D76" s="77" t="n">
        <f aca="false">IF(COUNTIF(Impostazioni!$A$27:$A$56,A76)&gt;0,1,0)</f>
        <v>0</v>
      </c>
      <c r="E76" s="77" t="n">
        <f aca="false">IF(COUNTIFS(Impostazioni!$A$16:$A$23,"&lt;="&amp;A76,Impostazioni!$B$16:$B$23,"&gt;="&amp;A76)&gt;0,1,0)</f>
        <v>0</v>
      </c>
      <c r="F76" s="77" t="n">
        <f aca="false">IF(AND(C76=1,D76=0,E76=0),1,0)</f>
        <v>1</v>
      </c>
      <c r="G76" s="77" t="n">
        <f aca="false">(YEAR(A76)-YEAR(Impostazioni!$B$11))*12+MONTH(A76)-MONTH(Impostazioni!$B$11)</f>
        <v>2</v>
      </c>
      <c r="H76" s="77" t="n">
        <f aca="false">INT((DAY(A76)-1+WEEKDAY(DATE(YEAR(A76),MONTH(A76),1),2)-1)/7)</f>
        <v>2</v>
      </c>
      <c r="I76" s="77" t="str">
        <f aca="false">IF(G76&gt;11,"",INDEX(Calendario!$A$14:$G$193,4+15*G76+2*H76,WEEKDAY(A76,2))&amp;"")</f>
        <v/>
      </c>
      <c r="J76" s="77" t="n">
        <f aca="false">IF(AND(F76=1,I76="A"),1,0)</f>
        <v>0</v>
      </c>
      <c r="K76" s="77" t="n">
        <f aca="false">IF(AND(F76=1,I76="G"),1,0)</f>
        <v>0</v>
      </c>
      <c r="L76" s="77" t="n">
        <f aca="false">IF(AND(F76=1,A76&gt;=Impostazioni!$B$8),1,0)</f>
        <v>1</v>
      </c>
      <c r="M76" s="77" t="n">
        <f aca="false">IF(C76=0,3,IF(OR(D76=1,E76=1),2,IF(WEEKDAY(A76,2)&gt;5,1,0)))</f>
        <v>0</v>
      </c>
      <c r="N76" s="77" t="str">
        <f aca="false">IF(OR(I76="A",I76="G"),MAX(N$1:N75)+1,"")</f>
        <v/>
      </c>
    </row>
    <row r="77" customFormat="false" ht="15" hidden="false" customHeight="false" outlineLevel="0" collapsed="false">
      <c r="A77" s="75" t="n">
        <f aca="false">A76+1</f>
        <v>46371</v>
      </c>
      <c r="B77" s="76" t="n">
        <f aca="false">DATE(YEAR(A77),MONTH(A77),1)</f>
        <v>46357</v>
      </c>
      <c r="C77" s="77" t="n">
        <f aca="false">IF(AND(A77&gt;=Impostazioni!$B$4,A77&lt;=Impostazioni!$B$5),1,0)</f>
        <v>1</v>
      </c>
      <c r="D77" s="77" t="n">
        <f aca="false">IF(COUNTIF(Impostazioni!$A$27:$A$56,A77)&gt;0,1,0)</f>
        <v>0</v>
      </c>
      <c r="E77" s="77" t="n">
        <f aca="false">IF(COUNTIFS(Impostazioni!$A$16:$A$23,"&lt;="&amp;A77,Impostazioni!$B$16:$B$23,"&gt;="&amp;A77)&gt;0,1,0)</f>
        <v>0</v>
      </c>
      <c r="F77" s="77" t="n">
        <f aca="false">IF(AND(C77=1,D77=0,E77=0),1,0)</f>
        <v>1</v>
      </c>
      <c r="G77" s="77" t="n">
        <f aca="false">(YEAR(A77)-YEAR(Impostazioni!$B$11))*12+MONTH(A77)-MONTH(Impostazioni!$B$11)</f>
        <v>2</v>
      </c>
      <c r="H77" s="77" t="n">
        <f aca="false">INT((DAY(A77)-1+WEEKDAY(DATE(YEAR(A77),MONTH(A77),1),2)-1)/7)</f>
        <v>2</v>
      </c>
      <c r="I77" s="77" t="str">
        <f aca="false">IF(G77&gt;11,"",INDEX(Calendario!$A$14:$G$193,4+15*G77+2*H77,WEEKDAY(A77,2))&amp;"")</f>
        <v/>
      </c>
      <c r="J77" s="77" t="n">
        <f aca="false">IF(AND(F77=1,I77="A"),1,0)</f>
        <v>0</v>
      </c>
      <c r="K77" s="77" t="n">
        <f aca="false">IF(AND(F77=1,I77="G"),1,0)</f>
        <v>0</v>
      </c>
      <c r="L77" s="77" t="n">
        <f aca="false">IF(AND(F77=1,A77&gt;=Impostazioni!$B$8),1,0)</f>
        <v>1</v>
      </c>
      <c r="M77" s="77" t="n">
        <f aca="false">IF(C77=0,3,IF(OR(D77=1,E77=1),2,IF(WEEKDAY(A77,2)&gt;5,1,0)))</f>
        <v>0</v>
      </c>
      <c r="N77" s="77" t="str">
        <f aca="false">IF(OR(I77="A",I77="G"),MAX(N$1:N76)+1,"")</f>
        <v/>
      </c>
    </row>
    <row r="78" customFormat="false" ht="15" hidden="false" customHeight="false" outlineLevel="0" collapsed="false">
      <c r="A78" s="75" t="n">
        <f aca="false">A77+1</f>
        <v>46372</v>
      </c>
      <c r="B78" s="76" t="n">
        <f aca="false">DATE(YEAR(A78),MONTH(A78),1)</f>
        <v>46357</v>
      </c>
      <c r="C78" s="77" t="n">
        <f aca="false">IF(AND(A78&gt;=Impostazioni!$B$4,A78&lt;=Impostazioni!$B$5),1,0)</f>
        <v>1</v>
      </c>
      <c r="D78" s="77" t="n">
        <f aca="false">IF(COUNTIF(Impostazioni!$A$27:$A$56,A78)&gt;0,1,0)</f>
        <v>0</v>
      </c>
      <c r="E78" s="77" t="n">
        <f aca="false">IF(COUNTIFS(Impostazioni!$A$16:$A$23,"&lt;="&amp;A78,Impostazioni!$B$16:$B$23,"&gt;="&amp;A78)&gt;0,1,0)</f>
        <v>0</v>
      </c>
      <c r="F78" s="77" t="n">
        <f aca="false">IF(AND(C78=1,D78=0,E78=0),1,0)</f>
        <v>1</v>
      </c>
      <c r="G78" s="77" t="n">
        <f aca="false">(YEAR(A78)-YEAR(Impostazioni!$B$11))*12+MONTH(A78)-MONTH(Impostazioni!$B$11)</f>
        <v>2</v>
      </c>
      <c r="H78" s="77" t="n">
        <f aca="false">INT((DAY(A78)-1+WEEKDAY(DATE(YEAR(A78),MONTH(A78),1),2)-1)/7)</f>
        <v>2</v>
      </c>
      <c r="I78" s="77" t="str">
        <f aca="false">IF(G78&gt;11,"",INDEX(Calendario!$A$14:$G$193,4+15*G78+2*H78,WEEKDAY(A78,2))&amp;"")</f>
        <v/>
      </c>
      <c r="J78" s="77" t="n">
        <f aca="false">IF(AND(F78=1,I78="A"),1,0)</f>
        <v>0</v>
      </c>
      <c r="K78" s="77" t="n">
        <f aca="false">IF(AND(F78=1,I78="G"),1,0)</f>
        <v>0</v>
      </c>
      <c r="L78" s="77" t="n">
        <f aca="false">IF(AND(F78=1,A78&gt;=Impostazioni!$B$8),1,0)</f>
        <v>1</v>
      </c>
      <c r="M78" s="77" t="n">
        <f aca="false">IF(C78=0,3,IF(OR(D78=1,E78=1),2,IF(WEEKDAY(A78,2)&gt;5,1,0)))</f>
        <v>0</v>
      </c>
      <c r="N78" s="77" t="str">
        <f aca="false">IF(OR(I78="A",I78="G"),MAX(N$1:N77)+1,"")</f>
        <v/>
      </c>
    </row>
    <row r="79" customFormat="false" ht="15" hidden="false" customHeight="false" outlineLevel="0" collapsed="false">
      <c r="A79" s="75" t="n">
        <f aca="false">A78+1</f>
        <v>46373</v>
      </c>
      <c r="B79" s="76" t="n">
        <f aca="false">DATE(YEAR(A79),MONTH(A79),1)</f>
        <v>46357</v>
      </c>
      <c r="C79" s="77" t="n">
        <f aca="false">IF(AND(A79&gt;=Impostazioni!$B$4,A79&lt;=Impostazioni!$B$5),1,0)</f>
        <v>1</v>
      </c>
      <c r="D79" s="77" t="n">
        <f aca="false">IF(COUNTIF(Impostazioni!$A$27:$A$56,A79)&gt;0,1,0)</f>
        <v>0</v>
      </c>
      <c r="E79" s="77" t="n">
        <f aca="false">IF(COUNTIFS(Impostazioni!$A$16:$A$23,"&lt;="&amp;A79,Impostazioni!$B$16:$B$23,"&gt;="&amp;A79)&gt;0,1,0)</f>
        <v>0</v>
      </c>
      <c r="F79" s="77" t="n">
        <f aca="false">IF(AND(C79=1,D79=0,E79=0),1,0)</f>
        <v>1</v>
      </c>
      <c r="G79" s="77" t="n">
        <f aca="false">(YEAR(A79)-YEAR(Impostazioni!$B$11))*12+MONTH(A79)-MONTH(Impostazioni!$B$11)</f>
        <v>2</v>
      </c>
      <c r="H79" s="77" t="n">
        <f aca="false">INT((DAY(A79)-1+WEEKDAY(DATE(YEAR(A79),MONTH(A79),1),2)-1)/7)</f>
        <v>2</v>
      </c>
      <c r="I79" s="77" t="str">
        <f aca="false">IF(G79&gt;11,"",INDEX(Calendario!$A$14:$G$193,4+15*G79+2*H79,WEEKDAY(A79,2))&amp;"")</f>
        <v/>
      </c>
      <c r="J79" s="77" t="n">
        <f aca="false">IF(AND(F79=1,I79="A"),1,0)</f>
        <v>0</v>
      </c>
      <c r="K79" s="77" t="n">
        <f aca="false">IF(AND(F79=1,I79="G"),1,0)</f>
        <v>0</v>
      </c>
      <c r="L79" s="77" t="n">
        <f aca="false">IF(AND(F79=1,A79&gt;=Impostazioni!$B$8),1,0)</f>
        <v>1</v>
      </c>
      <c r="M79" s="77" t="n">
        <f aca="false">IF(C79=0,3,IF(OR(D79=1,E79=1),2,IF(WEEKDAY(A79,2)&gt;5,1,0)))</f>
        <v>0</v>
      </c>
      <c r="N79" s="77" t="str">
        <f aca="false">IF(OR(I79="A",I79="G"),MAX(N$1:N78)+1,"")</f>
        <v/>
      </c>
    </row>
    <row r="80" customFormat="false" ht="15" hidden="false" customHeight="false" outlineLevel="0" collapsed="false">
      <c r="A80" s="75" t="n">
        <f aca="false">A79+1</f>
        <v>46374</v>
      </c>
      <c r="B80" s="76" t="n">
        <f aca="false">DATE(YEAR(A80),MONTH(A80),1)</f>
        <v>46357</v>
      </c>
      <c r="C80" s="77" t="n">
        <f aca="false">IF(AND(A80&gt;=Impostazioni!$B$4,A80&lt;=Impostazioni!$B$5),1,0)</f>
        <v>1</v>
      </c>
      <c r="D80" s="77" t="n">
        <f aca="false">IF(COUNTIF(Impostazioni!$A$27:$A$56,A80)&gt;0,1,0)</f>
        <v>0</v>
      </c>
      <c r="E80" s="77" t="n">
        <f aca="false">IF(COUNTIFS(Impostazioni!$A$16:$A$23,"&lt;="&amp;A80,Impostazioni!$B$16:$B$23,"&gt;="&amp;A80)&gt;0,1,0)</f>
        <v>0</v>
      </c>
      <c r="F80" s="77" t="n">
        <f aca="false">IF(AND(C80=1,D80=0,E80=0),1,0)</f>
        <v>1</v>
      </c>
      <c r="G80" s="77" t="n">
        <f aca="false">(YEAR(A80)-YEAR(Impostazioni!$B$11))*12+MONTH(A80)-MONTH(Impostazioni!$B$11)</f>
        <v>2</v>
      </c>
      <c r="H80" s="77" t="n">
        <f aca="false">INT((DAY(A80)-1+WEEKDAY(DATE(YEAR(A80),MONTH(A80),1),2)-1)/7)</f>
        <v>2</v>
      </c>
      <c r="I80" s="77" t="str">
        <f aca="false">IF(G80&gt;11,"",INDEX(Calendario!$A$14:$G$193,4+15*G80+2*H80,WEEKDAY(A80,2))&amp;"")</f>
        <v/>
      </c>
      <c r="J80" s="77" t="n">
        <f aca="false">IF(AND(F80=1,I80="A"),1,0)</f>
        <v>0</v>
      </c>
      <c r="K80" s="77" t="n">
        <f aca="false">IF(AND(F80=1,I80="G"),1,0)</f>
        <v>0</v>
      </c>
      <c r="L80" s="77" t="n">
        <f aca="false">IF(AND(F80=1,A80&gt;=Impostazioni!$B$8),1,0)</f>
        <v>1</v>
      </c>
      <c r="M80" s="77" t="n">
        <f aca="false">IF(C80=0,3,IF(OR(D80=1,E80=1),2,IF(WEEKDAY(A80,2)&gt;5,1,0)))</f>
        <v>0</v>
      </c>
      <c r="N80" s="77" t="str">
        <f aca="false">IF(OR(I80="A",I80="G"),MAX(N$1:N79)+1,"")</f>
        <v/>
      </c>
    </row>
    <row r="81" customFormat="false" ht="15" hidden="false" customHeight="false" outlineLevel="0" collapsed="false">
      <c r="A81" s="75" t="n">
        <f aca="false">A80+1</f>
        <v>46375</v>
      </c>
      <c r="B81" s="76" t="n">
        <f aca="false">DATE(YEAR(A81),MONTH(A81),1)</f>
        <v>46357</v>
      </c>
      <c r="C81" s="77" t="n">
        <f aca="false">IF(AND(A81&gt;=Impostazioni!$B$4,A81&lt;=Impostazioni!$B$5),1,0)</f>
        <v>1</v>
      </c>
      <c r="D81" s="77" t="n">
        <f aca="false">IF(COUNTIF(Impostazioni!$A$27:$A$56,A81)&gt;0,1,0)</f>
        <v>0</v>
      </c>
      <c r="E81" s="77" t="n">
        <f aca="false">IF(COUNTIFS(Impostazioni!$A$16:$A$23,"&lt;="&amp;A81,Impostazioni!$B$16:$B$23,"&gt;="&amp;A81)&gt;0,1,0)</f>
        <v>0</v>
      </c>
      <c r="F81" s="77" t="n">
        <f aca="false">IF(AND(C81=1,D81=0,E81=0),1,0)</f>
        <v>1</v>
      </c>
      <c r="G81" s="77" t="n">
        <f aca="false">(YEAR(A81)-YEAR(Impostazioni!$B$11))*12+MONTH(A81)-MONTH(Impostazioni!$B$11)</f>
        <v>2</v>
      </c>
      <c r="H81" s="77" t="n">
        <f aca="false">INT((DAY(A81)-1+WEEKDAY(DATE(YEAR(A81),MONTH(A81),1),2)-1)/7)</f>
        <v>2</v>
      </c>
      <c r="I81" s="77" t="str">
        <f aca="false">IF(G81&gt;11,"",INDEX(Calendario!$A$14:$G$193,4+15*G81+2*H81,WEEKDAY(A81,2))&amp;"")</f>
        <v/>
      </c>
      <c r="J81" s="77" t="n">
        <f aca="false">IF(AND(F81=1,I81="A"),1,0)</f>
        <v>0</v>
      </c>
      <c r="K81" s="77" t="n">
        <f aca="false">IF(AND(F81=1,I81="G"),1,0)</f>
        <v>0</v>
      </c>
      <c r="L81" s="77" t="n">
        <f aca="false">IF(AND(F81=1,A81&gt;=Impostazioni!$B$8),1,0)</f>
        <v>1</v>
      </c>
      <c r="M81" s="77" t="n">
        <f aca="false">IF(C81=0,3,IF(OR(D81=1,E81=1),2,IF(WEEKDAY(A81,2)&gt;5,1,0)))</f>
        <v>1</v>
      </c>
      <c r="N81" s="77" t="str">
        <f aca="false">IF(OR(I81="A",I81="G"),MAX(N$1:N80)+1,"")</f>
        <v/>
      </c>
    </row>
    <row r="82" customFormat="false" ht="15" hidden="false" customHeight="false" outlineLevel="0" collapsed="false">
      <c r="A82" s="75" t="n">
        <f aca="false">A81+1</f>
        <v>46376</v>
      </c>
      <c r="B82" s="76" t="n">
        <f aca="false">DATE(YEAR(A82),MONTH(A82),1)</f>
        <v>46357</v>
      </c>
      <c r="C82" s="77" t="n">
        <f aca="false">IF(AND(A82&gt;=Impostazioni!$B$4,A82&lt;=Impostazioni!$B$5),1,0)</f>
        <v>1</v>
      </c>
      <c r="D82" s="77" t="n">
        <f aca="false">IF(COUNTIF(Impostazioni!$A$27:$A$56,A82)&gt;0,1,0)</f>
        <v>0</v>
      </c>
      <c r="E82" s="77" t="n">
        <f aca="false">IF(COUNTIFS(Impostazioni!$A$16:$A$23,"&lt;="&amp;A82,Impostazioni!$B$16:$B$23,"&gt;="&amp;A82)&gt;0,1,0)</f>
        <v>0</v>
      </c>
      <c r="F82" s="77" t="n">
        <f aca="false">IF(AND(C82=1,D82=0,E82=0),1,0)</f>
        <v>1</v>
      </c>
      <c r="G82" s="77" t="n">
        <f aca="false">(YEAR(A82)-YEAR(Impostazioni!$B$11))*12+MONTH(A82)-MONTH(Impostazioni!$B$11)</f>
        <v>2</v>
      </c>
      <c r="H82" s="77" t="n">
        <f aca="false">INT((DAY(A82)-1+WEEKDAY(DATE(YEAR(A82),MONTH(A82),1),2)-1)/7)</f>
        <v>2</v>
      </c>
      <c r="I82" s="77" t="str">
        <f aca="false">IF(G82&gt;11,"",INDEX(Calendario!$A$14:$G$193,4+15*G82+2*H82,WEEKDAY(A82,2))&amp;"")</f>
        <v/>
      </c>
      <c r="J82" s="77" t="n">
        <f aca="false">IF(AND(F82=1,I82="A"),1,0)</f>
        <v>0</v>
      </c>
      <c r="K82" s="77" t="n">
        <f aca="false">IF(AND(F82=1,I82="G"),1,0)</f>
        <v>0</v>
      </c>
      <c r="L82" s="77" t="n">
        <f aca="false">IF(AND(F82=1,A82&gt;=Impostazioni!$B$8),1,0)</f>
        <v>1</v>
      </c>
      <c r="M82" s="77" t="n">
        <f aca="false">IF(C82=0,3,IF(OR(D82=1,E82=1),2,IF(WEEKDAY(A82,2)&gt;5,1,0)))</f>
        <v>1</v>
      </c>
      <c r="N82" s="77" t="str">
        <f aca="false">IF(OR(I82="A",I82="G"),MAX(N$1:N81)+1,"")</f>
        <v/>
      </c>
    </row>
    <row r="83" customFormat="false" ht="15" hidden="false" customHeight="false" outlineLevel="0" collapsed="false">
      <c r="A83" s="75" t="n">
        <f aca="false">A82+1</f>
        <v>46377</v>
      </c>
      <c r="B83" s="76" t="n">
        <f aca="false">DATE(YEAR(A83),MONTH(A83),1)</f>
        <v>46357</v>
      </c>
      <c r="C83" s="77" t="n">
        <f aca="false">IF(AND(A83&gt;=Impostazioni!$B$4,A83&lt;=Impostazioni!$B$5),1,0)</f>
        <v>1</v>
      </c>
      <c r="D83" s="77" t="n">
        <f aca="false">IF(COUNTIF(Impostazioni!$A$27:$A$56,A83)&gt;0,1,0)</f>
        <v>0</v>
      </c>
      <c r="E83" s="77" t="n">
        <f aca="false">IF(COUNTIFS(Impostazioni!$A$16:$A$23,"&lt;="&amp;A83,Impostazioni!$B$16:$B$23,"&gt;="&amp;A83)&gt;0,1,0)</f>
        <v>0</v>
      </c>
      <c r="F83" s="77" t="n">
        <f aca="false">IF(AND(C83=1,D83=0,E83=0),1,0)</f>
        <v>1</v>
      </c>
      <c r="G83" s="77" t="n">
        <f aca="false">(YEAR(A83)-YEAR(Impostazioni!$B$11))*12+MONTH(A83)-MONTH(Impostazioni!$B$11)</f>
        <v>2</v>
      </c>
      <c r="H83" s="77" t="n">
        <f aca="false">INT((DAY(A83)-1+WEEKDAY(DATE(YEAR(A83),MONTH(A83),1),2)-1)/7)</f>
        <v>3</v>
      </c>
      <c r="I83" s="77" t="str">
        <f aca="false">IF(G83&gt;11,"",INDEX(Calendario!$A$14:$G$193,4+15*G83+2*H83,WEEKDAY(A83,2))&amp;"")</f>
        <v/>
      </c>
      <c r="J83" s="77" t="n">
        <f aca="false">IF(AND(F83=1,I83="A"),1,0)</f>
        <v>0</v>
      </c>
      <c r="K83" s="77" t="n">
        <f aca="false">IF(AND(F83=1,I83="G"),1,0)</f>
        <v>0</v>
      </c>
      <c r="L83" s="77" t="n">
        <f aca="false">IF(AND(F83=1,A83&gt;=Impostazioni!$B$8),1,0)</f>
        <v>1</v>
      </c>
      <c r="M83" s="77" t="n">
        <f aca="false">IF(C83=0,3,IF(OR(D83=1,E83=1),2,IF(WEEKDAY(A83,2)&gt;5,1,0)))</f>
        <v>0</v>
      </c>
      <c r="N83" s="77" t="str">
        <f aca="false">IF(OR(I83="A",I83="G"),MAX(N$1:N82)+1,"")</f>
        <v/>
      </c>
    </row>
    <row r="84" customFormat="false" ht="15" hidden="false" customHeight="false" outlineLevel="0" collapsed="false">
      <c r="A84" s="75" t="n">
        <f aca="false">A83+1</f>
        <v>46378</v>
      </c>
      <c r="B84" s="76" t="n">
        <f aca="false">DATE(YEAR(A84),MONTH(A84),1)</f>
        <v>46357</v>
      </c>
      <c r="C84" s="77" t="n">
        <f aca="false">IF(AND(A84&gt;=Impostazioni!$B$4,A84&lt;=Impostazioni!$B$5),1,0)</f>
        <v>1</v>
      </c>
      <c r="D84" s="77" t="n">
        <f aca="false">IF(COUNTIF(Impostazioni!$A$27:$A$56,A84)&gt;0,1,0)</f>
        <v>0</v>
      </c>
      <c r="E84" s="77" t="n">
        <f aca="false">IF(COUNTIFS(Impostazioni!$A$16:$A$23,"&lt;="&amp;A84,Impostazioni!$B$16:$B$23,"&gt;="&amp;A84)&gt;0,1,0)</f>
        <v>0</v>
      </c>
      <c r="F84" s="77" t="n">
        <f aca="false">IF(AND(C84=1,D84=0,E84=0),1,0)</f>
        <v>1</v>
      </c>
      <c r="G84" s="77" t="n">
        <f aca="false">(YEAR(A84)-YEAR(Impostazioni!$B$11))*12+MONTH(A84)-MONTH(Impostazioni!$B$11)</f>
        <v>2</v>
      </c>
      <c r="H84" s="77" t="n">
        <f aca="false">INT((DAY(A84)-1+WEEKDAY(DATE(YEAR(A84),MONTH(A84),1),2)-1)/7)</f>
        <v>3</v>
      </c>
      <c r="I84" s="77" t="str">
        <f aca="false">IF(G84&gt;11,"",INDEX(Calendario!$A$14:$G$193,4+15*G84+2*H84,WEEKDAY(A84,2))&amp;"")</f>
        <v/>
      </c>
      <c r="J84" s="77" t="n">
        <f aca="false">IF(AND(F84=1,I84="A"),1,0)</f>
        <v>0</v>
      </c>
      <c r="K84" s="77" t="n">
        <f aca="false">IF(AND(F84=1,I84="G"),1,0)</f>
        <v>0</v>
      </c>
      <c r="L84" s="77" t="n">
        <f aca="false">IF(AND(F84=1,A84&gt;=Impostazioni!$B$8),1,0)</f>
        <v>1</v>
      </c>
      <c r="M84" s="77" t="n">
        <f aca="false">IF(C84=0,3,IF(OR(D84=1,E84=1),2,IF(WEEKDAY(A84,2)&gt;5,1,0)))</f>
        <v>0</v>
      </c>
      <c r="N84" s="77" t="str">
        <f aca="false">IF(OR(I84="A",I84="G"),MAX(N$1:N83)+1,"")</f>
        <v/>
      </c>
    </row>
    <row r="85" customFormat="false" ht="15" hidden="false" customHeight="false" outlineLevel="0" collapsed="false">
      <c r="A85" s="75" t="n">
        <f aca="false">A84+1</f>
        <v>46379</v>
      </c>
      <c r="B85" s="76" t="n">
        <f aca="false">DATE(YEAR(A85),MONTH(A85),1)</f>
        <v>46357</v>
      </c>
      <c r="C85" s="77" t="n">
        <f aca="false">IF(AND(A85&gt;=Impostazioni!$B$4,A85&lt;=Impostazioni!$B$5),1,0)</f>
        <v>1</v>
      </c>
      <c r="D85" s="77" t="n">
        <f aca="false">IF(COUNTIF(Impostazioni!$A$27:$A$56,A85)&gt;0,1,0)</f>
        <v>0</v>
      </c>
      <c r="E85" s="77" t="n">
        <f aca="false">IF(COUNTIFS(Impostazioni!$A$16:$A$23,"&lt;="&amp;A85,Impostazioni!$B$16:$B$23,"&gt;="&amp;A85)&gt;0,1,0)</f>
        <v>1</v>
      </c>
      <c r="F85" s="77" t="n">
        <f aca="false">IF(AND(C85=1,D85=0,E85=0),1,0)</f>
        <v>0</v>
      </c>
      <c r="G85" s="77" t="n">
        <f aca="false">(YEAR(A85)-YEAR(Impostazioni!$B$11))*12+MONTH(A85)-MONTH(Impostazioni!$B$11)</f>
        <v>2</v>
      </c>
      <c r="H85" s="77" t="n">
        <f aca="false">INT((DAY(A85)-1+WEEKDAY(DATE(YEAR(A85),MONTH(A85),1),2)-1)/7)</f>
        <v>3</v>
      </c>
      <c r="I85" s="77" t="str">
        <f aca="false">IF(G85&gt;11,"",INDEX(Calendario!$A$14:$G$193,4+15*G85+2*H85,WEEKDAY(A85,2))&amp;"")</f>
        <v/>
      </c>
      <c r="J85" s="77" t="n">
        <f aca="false">IF(AND(F85=1,I85="A"),1,0)</f>
        <v>0</v>
      </c>
      <c r="K85" s="77" t="n">
        <f aca="false">IF(AND(F85=1,I85="G"),1,0)</f>
        <v>0</v>
      </c>
      <c r="L85" s="77" t="n">
        <f aca="false">IF(AND(F85=1,A85&gt;=Impostazioni!$B$8),1,0)</f>
        <v>0</v>
      </c>
      <c r="M85" s="77" t="n">
        <f aca="false">IF(C85=0,3,IF(OR(D85=1,E85=1),2,IF(WEEKDAY(A85,2)&gt;5,1,0)))</f>
        <v>2</v>
      </c>
      <c r="N85" s="77" t="str">
        <f aca="false">IF(OR(I85="A",I85="G"),MAX(N$1:N84)+1,"")</f>
        <v/>
      </c>
    </row>
    <row r="86" customFormat="false" ht="15" hidden="false" customHeight="false" outlineLevel="0" collapsed="false">
      <c r="A86" s="75" t="n">
        <f aca="false">A85+1</f>
        <v>46380</v>
      </c>
      <c r="B86" s="76" t="n">
        <f aca="false">DATE(YEAR(A86),MONTH(A86),1)</f>
        <v>46357</v>
      </c>
      <c r="C86" s="77" t="n">
        <f aca="false">IF(AND(A86&gt;=Impostazioni!$B$4,A86&lt;=Impostazioni!$B$5),1,0)</f>
        <v>1</v>
      </c>
      <c r="D86" s="77" t="n">
        <f aca="false">IF(COUNTIF(Impostazioni!$A$27:$A$56,A86)&gt;0,1,0)</f>
        <v>0</v>
      </c>
      <c r="E86" s="77" t="n">
        <f aca="false">IF(COUNTIFS(Impostazioni!$A$16:$A$23,"&lt;="&amp;A86,Impostazioni!$B$16:$B$23,"&gt;="&amp;A86)&gt;0,1,0)</f>
        <v>1</v>
      </c>
      <c r="F86" s="77" t="n">
        <f aca="false">IF(AND(C86=1,D86=0,E86=0),1,0)</f>
        <v>0</v>
      </c>
      <c r="G86" s="77" t="n">
        <f aca="false">(YEAR(A86)-YEAR(Impostazioni!$B$11))*12+MONTH(A86)-MONTH(Impostazioni!$B$11)</f>
        <v>2</v>
      </c>
      <c r="H86" s="77" t="n">
        <f aca="false">INT((DAY(A86)-1+WEEKDAY(DATE(YEAR(A86),MONTH(A86),1),2)-1)/7)</f>
        <v>3</v>
      </c>
      <c r="I86" s="77" t="str">
        <f aca="false">IF(G86&gt;11,"",INDEX(Calendario!$A$14:$G$193,4+15*G86+2*H86,WEEKDAY(A86,2))&amp;"")</f>
        <v/>
      </c>
      <c r="J86" s="77" t="n">
        <f aca="false">IF(AND(F86=1,I86="A"),1,0)</f>
        <v>0</v>
      </c>
      <c r="K86" s="77" t="n">
        <f aca="false">IF(AND(F86=1,I86="G"),1,0)</f>
        <v>0</v>
      </c>
      <c r="L86" s="77" t="n">
        <f aca="false">IF(AND(F86=1,A86&gt;=Impostazioni!$B$8),1,0)</f>
        <v>0</v>
      </c>
      <c r="M86" s="77" t="n">
        <f aca="false">IF(C86=0,3,IF(OR(D86=1,E86=1),2,IF(WEEKDAY(A86,2)&gt;5,1,0)))</f>
        <v>2</v>
      </c>
      <c r="N86" s="77" t="str">
        <f aca="false">IF(OR(I86="A",I86="G"),MAX(N$1:N85)+1,"")</f>
        <v/>
      </c>
    </row>
    <row r="87" customFormat="false" ht="15" hidden="false" customHeight="false" outlineLevel="0" collapsed="false">
      <c r="A87" s="75" t="n">
        <f aca="false">A86+1</f>
        <v>46381</v>
      </c>
      <c r="B87" s="76" t="n">
        <f aca="false">DATE(YEAR(A87),MONTH(A87),1)</f>
        <v>46357</v>
      </c>
      <c r="C87" s="77" t="n">
        <f aca="false">IF(AND(A87&gt;=Impostazioni!$B$4,A87&lt;=Impostazioni!$B$5),1,0)</f>
        <v>1</v>
      </c>
      <c r="D87" s="77" t="n">
        <f aca="false">IF(COUNTIF(Impostazioni!$A$27:$A$56,A87)&gt;0,1,0)</f>
        <v>1</v>
      </c>
      <c r="E87" s="77" t="n">
        <f aca="false">IF(COUNTIFS(Impostazioni!$A$16:$A$23,"&lt;="&amp;A87,Impostazioni!$B$16:$B$23,"&gt;="&amp;A87)&gt;0,1,0)</f>
        <v>1</v>
      </c>
      <c r="F87" s="77" t="n">
        <f aca="false">IF(AND(C87=1,D87=0,E87=0),1,0)</f>
        <v>0</v>
      </c>
      <c r="G87" s="77" t="n">
        <f aca="false">(YEAR(A87)-YEAR(Impostazioni!$B$11))*12+MONTH(A87)-MONTH(Impostazioni!$B$11)</f>
        <v>2</v>
      </c>
      <c r="H87" s="77" t="n">
        <f aca="false">INT((DAY(A87)-1+WEEKDAY(DATE(YEAR(A87),MONTH(A87),1),2)-1)/7)</f>
        <v>3</v>
      </c>
      <c r="I87" s="77" t="str">
        <f aca="false">IF(G87&gt;11,"",INDEX(Calendario!$A$14:$G$193,4+15*G87+2*H87,WEEKDAY(A87,2))&amp;"")</f>
        <v/>
      </c>
      <c r="J87" s="77" t="n">
        <f aca="false">IF(AND(F87=1,I87="A"),1,0)</f>
        <v>0</v>
      </c>
      <c r="K87" s="77" t="n">
        <f aca="false">IF(AND(F87=1,I87="G"),1,0)</f>
        <v>0</v>
      </c>
      <c r="L87" s="77" t="n">
        <f aca="false">IF(AND(F87=1,A87&gt;=Impostazioni!$B$8),1,0)</f>
        <v>0</v>
      </c>
      <c r="M87" s="77" t="n">
        <f aca="false">IF(C87=0,3,IF(OR(D87=1,E87=1),2,IF(WEEKDAY(A87,2)&gt;5,1,0)))</f>
        <v>2</v>
      </c>
      <c r="N87" s="77" t="str">
        <f aca="false">IF(OR(I87="A",I87="G"),MAX(N$1:N86)+1,"")</f>
        <v/>
      </c>
    </row>
    <row r="88" customFormat="false" ht="15" hidden="false" customHeight="false" outlineLevel="0" collapsed="false">
      <c r="A88" s="75" t="n">
        <f aca="false">A87+1</f>
        <v>46382</v>
      </c>
      <c r="B88" s="76" t="n">
        <f aca="false">DATE(YEAR(A88),MONTH(A88),1)</f>
        <v>46357</v>
      </c>
      <c r="C88" s="77" t="n">
        <f aca="false">IF(AND(A88&gt;=Impostazioni!$B$4,A88&lt;=Impostazioni!$B$5),1,0)</f>
        <v>1</v>
      </c>
      <c r="D88" s="77" t="n">
        <f aca="false">IF(COUNTIF(Impostazioni!$A$27:$A$56,A88)&gt;0,1,0)</f>
        <v>1</v>
      </c>
      <c r="E88" s="77" t="n">
        <f aca="false">IF(COUNTIFS(Impostazioni!$A$16:$A$23,"&lt;="&amp;A88,Impostazioni!$B$16:$B$23,"&gt;="&amp;A88)&gt;0,1,0)</f>
        <v>1</v>
      </c>
      <c r="F88" s="77" t="n">
        <f aca="false">IF(AND(C88=1,D88=0,E88=0),1,0)</f>
        <v>0</v>
      </c>
      <c r="G88" s="77" t="n">
        <f aca="false">(YEAR(A88)-YEAR(Impostazioni!$B$11))*12+MONTH(A88)-MONTH(Impostazioni!$B$11)</f>
        <v>2</v>
      </c>
      <c r="H88" s="77" t="n">
        <f aca="false">INT((DAY(A88)-1+WEEKDAY(DATE(YEAR(A88),MONTH(A88),1),2)-1)/7)</f>
        <v>3</v>
      </c>
      <c r="I88" s="77" t="str">
        <f aca="false">IF(G88&gt;11,"",INDEX(Calendario!$A$14:$G$193,4+15*G88+2*H88,WEEKDAY(A88,2))&amp;"")</f>
        <v/>
      </c>
      <c r="J88" s="77" t="n">
        <f aca="false">IF(AND(F88=1,I88="A"),1,0)</f>
        <v>0</v>
      </c>
      <c r="K88" s="77" t="n">
        <f aca="false">IF(AND(F88=1,I88="G"),1,0)</f>
        <v>0</v>
      </c>
      <c r="L88" s="77" t="n">
        <f aca="false">IF(AND(F88=1,A88&gt;=Impostazioni!$B$8),1,0)</f>
        <v>0</v>
      </c>
      <c r="M88" s="77" t="n">
        <f aca="false">IF(C88=0,3,IF(OR(D88=1,E88=1),2,IF(WEEKDAY(A88,2)&gt;5,1,0)))</f>
        <v>2</v>
      </c>
      <c r="N88" s="77" t="str">
        <f aca="false">IF(OR(I88="A",I88="G"),MAX(N$1:N87)+1,"")</f>
        <v/>
      </c>
    </row>
    <row r="89" customFormat="false" ht="15" hidden="false" customHeight="false" outlineLevel="0" collapsed="false">
      <c r="A89" s="75" t="n">
        <f aca="false">A88+1</f>
        <v>46383</v>
      </c>
      <c r="B89" s="76" t="n">
        <f aca="false">DATE(YEAR(A89),MONTH(A89),1)</f>
        <v>46357</v>
      </c>
      <c r="C89" s="77" t="n">
        <f aca="false">IF(AND(A89&gt;=Impostazioni!$B$4,A89&lt;=Impostazioni!$B$5),1,0)</f>
        <v>1</v>
      </c>
      <c r="D89" s="77" t="n">
        <f aca="false">IF(COUNTIF(Impostazioni!$A$27:$A$56,A89)&gt;0,1,0)</f>
        <v>0</v>
      </c>
      <c r="E89" s="77" t="n">
        <f aca="false">IF(COUNTIFS(Impostazioni!$A$16:$A$23,"&lt;="&amp;A89,Impostazioni!$B$16:$B$23,"&gt;="&amp;A89)&gt;0,1,0)</f>
        <v>1</v>
      </c>
      <c r="F89" s="77" t="n">
        <f aca="false">IF(AND(C89=1,D89=0,E89=0),1,0)</f>
        <v>0</v>
      </c>
      <c r="G89" s="77" t="n">
        <f aca="false">(YEAR(A89)-YEAR(Impostazioni!$B$11))*12+MONTH(A89)-MONTH(Impostazioni!$B$11)</f>
        <v>2</v>
      </c>
      <c r="H89" s="77" t="n">
        <f aca="false">INT((DAY(A89)-1+WEEKDAY(DATE(YEAR(A89),MONTH(A89),1),2)-1)/7)</f>
        <v>3</v>
      </c>
      <c r="I89" s="77" t="str">
        <f aca="false">IF(G89&gt;11,"",INDEX(Calendario!$A$14:$G$193,4+15*G89+2*H89,WEEKDAY(A89,2))&amp;"")</f>
        <v/>
      </c>
      <c r="J89" s="77" t="n">
        <f aca="false">IF(AND(F89=1,I89="A"),1,0)</f>
        <v>0</v>
      </c>
      <c r="K89" s="77" t="n">
        <f aca="false">IF(AND(F89=1,I89="G"),1,0)</f>
        <v>0</v>
      </c>
      <c r="L89" s="77" t="n">
        <f aca="false">IF(AND(F89=1,A89&gt;=Impostazioni!$B$8),1,0)</f>
        <v>0</v>
      </c>
      <c r="M89" s="77" t="n">
        <f aca="false">IF(C89=0,3,IF(OR(D89=1,E89=1),2,IF(WEEKDAY(A89,2)&gt;5,1,0)))</f>
        <v>2</v>
      </c>
      <c r="N89" s="77" t="str">
        <f aca="false">IF(OR(I89="A",I89="G"),MAX(N$1:N88)+1,"")</f>
        <v/>
      </c>
    </row>
    <row r="90" customFormat="false" ht="15" hidden="false" customHeight="false" outlineLevel="0" collapsed="false">
      <c r="A90" s="75" t="n">
        <f aca="false">A89+1</f>
        <v>46384</v>
      </c>
      <c r="B90" s="76" t="n">
        <f aca="false">DATE(YEAR(A90),MONTH(A90),1)</f>
        <v>46357</v>
      </c>
      <c r="C90" s="77" t="n">
        <f aca="false">IF(AND(A90&gt;=Impostazioni!$B$4,A90&lt;=Impostazioni!$B$5),1,0)</f>
        <v>1</v>
      </c>
      <c r="D90" s="77" t="n">
        <f aca="false">IF(COUNTIF(Impostazioni!$A$27:$A$56,A90)&gt;0,1,0)</f>
        <v>0</v>
      </c>
      <c r="E90" s="77" t="n">
        <f aca="false">IF(COUNTIFS(Impostazioni!$A$16:$A$23,"&lt;="&amp;A90,Impostazioni!$B$16:$B$23,"&gt;="&amp;A90)&gt;0,1,0)</f>
        <v>1</v>
      </c>
      <c r="F90" s="77" t="n">
        <f aca="false">IF(AND(C90=1,D90=0,E90=0),1,0)</f>
        <v>0</v>
      </c>
      <c r="G90" s="77" t="n">
        <f aca="false">(YEAR(A90)-YEAR(Impostazioni!$B$11))*12+MONTH(A90)-MONTH(Impostazioni!$B$11)</f>
        <v>2</v>
      </c>
      <c r="H90" s="77" t="n">
        <f aca="false">INT((DAY(A90)-1+WEEKDAY(DATE(YEAR(A90),MONTH(A90),1),2)-1)/7)</f>
        <v>4</v>
      </c>
      <c r="I90" s="77" t="str">
        <f aca="false">IF(G90&gt;11,"",INDEX(Calendario!$A$14:$G$193,4+15*G90+2*H90,WEEKDAY(A90,2))&amp;"")</f>
        <v/>
      </c>
      <c r="J90" s="77" t="n">
        <f aca="false">IF(AND(F90=1,I90="A"),1,0)</f>
        <v>0</v>
      </c>
      <c r="K90" s="77" t="n">
        <f aca="false">IF(AND(F90=1,I90="G"),1,0)</f>
        <v>0</v>
      </c>
      <c r="L90" s="77" t="n">
        <f aca="false">IF(AND(F90=1,A90&gt;=Impostazioni!$B$8),1,0)</f>
        <v>0</v>
      </c>
      <c r="M90" s="77" t="n">
        <f aca="false">IF(C90=0,3,IF(OR(D90=1,E90=1),2,IF(WEEKDAY(A90,2)&gt;5,1,0)))</f>
        <v>2</v>
      </c>
      <c r="N90" s="77" t="str">
        <f aca="false">IF(OR(I90="A",I90="G"),MAX(N$1:N89)+1,"")</f>
        <v/>
      </c>
    </row>
    <row r="91" customFormat="false" ht="15" hidden="false" customHeight="false" outlineLevel="0" collapsed="false">
      <c r="A91" s="75" t="n">
        <f aca="false">A90+1</f>
        <v>46385</v>
      </c>
      <c r="B91" s="76" t="n">
        <f aca="false">DATE(YEAR(A91),MONTH(A91),1)</f>
        <v>46357</v>
      </c>
      <c r="C91" s="77" t="n">
        <f aca="false">IF(AND(A91&gt;=Impostazioni!$B$4,A91&lt;=Impostazioni!$B$5),1,0)</f>
        <v>1</v>
      </c>
      <c r="D91" s="77" t="n">
        <f aca="false">IF(COUNTIF(Impostazioni!$A$27:$A$56,A91)&gt;0,1,0)</f>
        <v>0</v>
      </c>
      <c r="E91" s="77" t="n">
        <f aca="false">IF(COUNTIFS(Impostazioni!$A$16:$A$23,"&lt;="&amp;A91,Impostazioni!$B$16:$B$23,"&gt;="&amp;A91)&gt;0,1,0)</f>
        <v>1</v>
      </c>
      <c r="F91" s="77" t="n">
        <f aca="false">IF(AND(C91=1,D91=0,E91=0),1,0)</f>
        <v>0</v>
      </c>
      <c r="G91" s="77" t="n">
        <f aca="false">(YEAR(A91)-YEAR(Impostazioni!$B$11))*12+MONTH(A91)-MONTH(Impostazioni!$B$11)</f>
        <v>2</v>
      </c>
      <c r="H91" s="77" t="n">
        <f aca="false">INT((DAY(A91)-1+WEEKDAY(DATE(YEAR(A91),MONTH(A91),1),2)-1)/7)</f>
        <v>4</v>
      </c>
      <c r="I91" s="77" t="str">
        <f aca="false">IF(G91&gt;11,"",INDEX(Calendario!$A$14:$G$193,4+15*G91+2*H91,WEEKDAY(A91,2))&amp;"")</f>
        <v/>
      </c>
      <c r="J91" s="77" t="n">
        <f aca="false">IF(AND(F91=1,I91="A"),1,0)</f>
        <v>0</v>
      </c>
      <c r="K91" s="77" t="n">
        <f aca="false">IF(AND(F91=1,I91="G"),1,0)</f>
        <v>0</v>
      </c>
      <c r="L91" s="77" t="n">
        <f aca="false">IF(AND(F91=1,A91&gt;=Impostazioni!$B$8),1,0)</f>
        <v>0</v>
      </c>
      <c r="M91" s="77" t="n">
        <f aca="false">IF(C91=0,3,IF(OR(D91=1,E91=1),2,IF(WEEKDAY(A91,2)&gt;5,1,0)))</f>
        <v>2</v>
      </c>
      <c r="N91" s="77" t="str">
        <f aca="false">IF(OR(I91="A",I91="G"),MAX(N$1:N90)+1,"")</f>
        <v/>
      </c>
    </row>
    <row r="92" customFormat="false" ht="15" hidden="false" customHeight="false" outlineLevel="0" collapsed="false">
      <c r="A92" s="75" t="n">
        <f aca="false">A91+1</f>
        <v>46386</v>
      </c>
      <c r="B92" s="76" t="n">
        <f aca="false">DATE(YEAR(A92),MONTH(A92),1)</f>
        <v>46357</v>
      </c>
      <c r="C92" s="77" t="n">
        <f aca="false">IF(AND(A92&gt;=Impostazioni!$B$4,A92&lt;=Impostazioni!$B$5),1,0)</f>
        <v>1</v>
      </c>
      <c r="D92" s="77" t="n">
        <f aca="false">IF(COUNTIF(Impostazioni!$A$27:$A$56,A92)&gt;0,1,0)</f>
        <v>0</v>
      </c>
      <c r="E92" s="77" t="n">
        <f aca="false">IF(COUNTIFS(Impostazioni!$A$16:$A$23,"&lt;="&amp;A92,Impostazioni!$B$16:$B$23,"&gt;="&amp;A92)&gt;0,1,0)</f>
        <v>1</v>
      </c>
      <c r="F92" s="77" t="n">
        <f aca="false">IF(AND(C92=1,D92=0,E92=0),1,0)</f>
        <v>0</v>
      </c>
      <c r="G92" s="77" t="n">
        <f aca="false">(YEAR(A92)-YEAR(Impostazioni!$B$11))*12+MONTH(A92)-MONTH(Impostazioni!$B$11)</f>
        <v>2</v>
      </c>
      <c r="H92" s="77" t="n">
        <f aca="false">INT((DAY(A92)-1+WEEKDAY(DATE(YEAR(A92),MONTH(A92),1),2)-1)/7)</f>
        <v>4</v>
      </c>
      <c r="I92" s="77" t="str">
        <f aca="false">IF(G92&gt;11,"",INDEX(Calendario!$A$14:$G$193,4+15*G92+2*H92,WEEKDAY(A92,2))&amp;"")</f>
        <v/>
      </c>
      <c r="J92" s="77" t="n">
        <f aca="false">IF(AND(F92=1,I92="A"),1,0)</f>
        <v>0</v>
      </c>
      <c r="K92" s="77" t="n">
        <f aca="false">IF(AND(F92=1,I92="G"),1,0)</f>
        <v>0</v>
      </c>
      <c r="L92" s="77" t="n">
        <f aca="false">IF(AND(F92=1,A92&gt;=Impostazioni!$B$8),1,0)</f>
        <v>0</v>
      </c>
      <c r="M92" s="77" t="n">
        <f aca="false">IF(C92=0,3,IF(OR(D92=1,E92=1),2,IF(WEEKDAY(A92,2)&gt;5,1,0)))</f>
        <v>2</v>
      </c>
      <c r="N92" s="77" t="str">
        <f aca="false">IF(OR(I92="A",I92="G"),MAX(N$1:N91)+1,"")</f>
        <v/>
      </c>
    </row>
    <row r="93" customFormat="false" ht="15" hidden="false" customHeight="false" outlineLevel="0" collapsed="false">
      <c r="A93" s="75" t="n">
        <f aca="false">A92+1</f>
        <v>46387</v>
      </c>
      <c r="B93" s="76" t="n">
        <f aca="false">DATE(YEAR(A93),MONTH(A93),1)</f>
        <v>46357</v>
      </c>
      <c r="C93" s="77" t="n">
        <f aca="false">IF(AND(A93&gt;=Impostazioni!$B$4,A93&lt;=Impostazioni!$B$5),1,0)</f>
        <v>1</v>
      </c>
      <c r="D93" s="77" t="n">
        <f aca="false">IF(COUNTIF(Impostazioni!$A$27:$A$56,A93)&gt;0,1,0)</f>
        <v>0</v>
      </c>
      <c r="E93" s="77" t="n">
        <f aca="false">IF(COUNTIFS(Impostazioni!$A$16:$A$23,"&lt;="&amp;A93,Impostazioni!$B$16:$B$23,"&gt;="&amp;A93)&gt;0,1,0)</f>
        <v>1</v>
      </c>
      <c r="F93" s="77" t="n">
        <f aca="false">IF(AND(C93=1,D93=0,E93=0),1,0)</f>
        <v>0</v>
      </c>
      <c r="G93" s="77" t="n">
        <f aca="false">(YEAR(A93)-YEAR(Impostazioni!$B$11))*12+MONTH(A93)-MONTH(Impostazioni!$B$11)</f>
        <v>2</v>
      </c>
      <c r="H93" s="77" t="n">
        <f aca="false">INT((DAY(A93)-1+WEEKDAY(DATE(YEAR(A93),MONTH(A93),1),2)-1)/7)</f>
        <v>4</v>
      </c>
      <c r="I93" s="77" t="str">
        <f aca="false">IF(G93&gt;11,"",INDEX(Calendario!$A$14:$G$193,4+15*G93+2*H93,WEEKDAY(A93,2))&amp;"")</f>
        <v/>
      </c>
      <c r="J93" s="77" t="n">
        <f aca="false">IF(AND(F93=1,I93="A"),1,0)</f>
        <v>0</v>
      </c>
      <c r="K93" s="77" t="n">
        <f aca="false">IF(AND(F93=1,I93="G"),1,0)</f>
        <v>0</v>
      </c>
      <c r="L93" s="77" t="n">
        <f aca="false">IF(AND(F93=1,A93&gt;=Impostazioni!$B$8),1,0)</f>
        <v>0</v>
      </c>
      <c r="M93" s="77" t="n">
        <f aca="false">IF(C93=0,3,IF(OR(D93=1,E93=1),2,IF(WEEKDAY(A93,2)&gt;5,1,0)))</f>
        <v>2</v>
      </c>
      <c r="N93" s="77" t="str">
        <f aca="false">IF(OR(I93="A",I93="G"),MAX(N$1:N92)+1,"")</f>
        <v/>
      </c>
    </row>
    <row r="94" customFormat="false" ht="15" hidden="false" customHeight="false" outlineLevel="0" collapsed="false">
      <c r="A94" s="75" t="n">
        <f aca="false">A93+1</f>
        <v>46388</v>
      </c>
      <c r="B94" s="76" t="n">
        <f aca="false">DATE(YEAR(A94),MONTH(A94),1)</f>
        <v>46388</v>
      </c>
      <c r="C94" s="77" t="n">
        <f aca="false">IF(AND(A94&gt;=Impostazioni!$B$4,A94&lt;=Impostazioni!$B$5),1,0)</f>
        <v>1</v>
      </c>
      <c r="D94" s="77" t="n">
        <f aca="false">IF(COUNTIF(Impostazioni!$A$27:$A$56,A94)&gt;0,1,0)</f>
        <v>1</v>
      </c>
      <c r="E94" s="77" t="n">
        <f aca="false">IF(COUNTIFS(Impostazioni!$A$16:$A$23,"&lt;="&amp;A94,Impostazioni!$B$16:$B$23,"&gt;="&amp;A94)&gt;0,1,0)</f>
        <v>1</v>
      </c>
      <c r="F94" s="77" t="n">
        <f aca="false">IF(AND(C94=1,D94=0,E94=0),1,0)</f>
        <v>0</v>
      </c>
      <c r="G94" s="77" t="n">
        <f aca="false">(YEAR(A94)-YEAR(Impostazioni!$B$11))*12+MONTH(A94)-MONTH(Impostazioni!$B$11)</f>
        <v>3</v>
      </c>
      <c r="H94" s="77" t="n">
        <f aca="false">INT((DAY(A94)-1+WEEKDAY(DATE(YEAR(A94),MONTH(A94),1),2)-1)/7)</f>
        <v>0</v>
      </c>
      <c r="I94" s="77" t="str">
        <f aca="false">IF(G94&gt;11,"",INDEX(Calendario!$A$14:$G$193,4+15*G94+2*H94,WEEKDAY(A94,2))&amp;"")</f>
        <v/>
      </c>
      <c r="J94" s="77" t="n">
        <f aca="false">IF(AND(F94=1,I94="A"),1,0)</f>
        <v>0</v>
      </c>
      <c r="K94" s="77" t="n">
        <f aca="false">IF(AND(F94=1,I94="G"),1,0)</f>
        <v>0</v>
      </c>
      <c r="L94" s="77" t="n">
        <f aca="false">IF(AND(F94=1,A94&gt;=Impostazioni!$B$8),1,0)</f>
        <v>0</v>
      </c>
      <c r="M94" s="77" t="n">
        <f aca="false">IF(C94=0,3,IF(OR(D94=1,E94=1),2,IF(WEEKDAY(A94,2)&gt;5,1,0)))</f>
        <v>2</v>
      </c>
      <c r="N94" s="77" t="str">
        <f aca="false">IF(OR(I94="A",I94="G"),MAX(N$1:N93)+1,"")</f>
        <v/>
      </c>
    </row>
    <row r="95" customFormat="false" ht="15" hidden="false" customHeight="false" outlineLevel="0" collapsed="false">
      <c r="A95" s="75" t="n">
        <f aca="false">A94+1</f>
        <v>46389</v>
      </c>
      <c r="B95" s="76" t="n">
        <f aca="false">DATE(YEAR(A95),MONTH(A95),1)</f>
        <v>46388</v>
      </c>
      <c r="C95" s="77" t="n">
        <f aca="false">IF(AND(A95&gt;=Impostazioni!$B$4,A95&lt;=Impostazioni!$B$5),1,0)</f>
        <v>1</v>
      </c>
      <c r="D95" s="77" t="n">
        <f aca="false">IF(COUNTIF(Impostazioni!$A$27:$A$56,A95)&gt;0,1,0)</f>
        <v>0</v>
      </c>
      <c r="E95" s="77" t="n">
        <f aca="false">IF(COUNTIFS(Impostazioni!$A$16:$A$23,"&lt;="&amp;A95,Impostazioni!$B$16:$B$23,"&gt;="&amp;A95)&gt;0,1,0)</f>
        <v>1</v>
      </c>
      <c r="F95" s="77" t="n">
        <f aca="false">IF(AND(C95=1,D95=0,E95=0),1,0)</f>
        <v>0</v>
      </c>
      <c r="G95" s="77" t="n">
        <f aca="false">(YEAR(A95)-YEAR(Impostazioni!$B$11))*12+MONTH(A95)-MONTH(Impostazioni!$B$11)</f>
        <v>3</v>
      </c>
      <c r="H95" s="77" t="n">
        <f aca="false">INT((DAY(A95)-1+WEEKDAY(DATE(YEAR(A95),MONTH(A95),1),2)-1)/7)</f>
        <v>0</v>
      </c>
      <c r="I95" s="77" t="str">
        <f aca="false">IF(G95&gt;11,"",INDEX(Calendario!$A$14:$G$193,4+15*G95+2*H95,WEEKDAY(A95,2))&amp;"")</f>
        <v/>
      </c>
      <c r="J95" s="77" t="n">
        <f aca="false">IF(AND(F95=1,I95="A"),1,0)</f>
        <v>0</v>
      </c>
      <c r="K95" s="77" t="n">
        <f aca="false">IF(AND(F95=1,I95="G"),1,0)</f>
        <v>0</v>
      </c>
      <c r="L95" s="77" t="n">
        <f aca="false">IF(AND(F95=1,A95&gt;=Impostazioni!$B$8),1,0)</f>
        <v>0</v>
      </c>
      <c r="M95" s="77" t="n">
        <f aca="false">IF(C95=0,3,IF(OR(D95=1,E95=1),2,IF(WEEKDAY(A95,2)&gt;5,1,0)))</f>
        <v>2</v>
      </c>
      <c r="N95" s="77" t="str">
        <f aca="false">IF(OR(I95="A",I95="G"),MAX(N$1:N94)+1,"")</f>
        <v/>
      </c>
    </row>
    <row r="96" customFormat="false" ht="15" hidden="false" customHeight="false" outlineLevel="0" collapsed="false">
      <c r="A96" s="75" t="n">
        <f aca="false">A95+1</f>
        <v>46390</v>
      </c>
      <c r="B96" s="76" t="n">
        <f aca="false">DATE(YEAR(A96),MONTH(A96),1)</f>
        <v>46388</v>
      </c>
      <c r="C96" s="77" t="n">
        <f aca="false">IF(AND(A96&gt;=Impostazioni!$B$4,A96&lt;=Impostazioni!$B$5),1,0)</f>
        <v>1</v>
      </c>
      <c r="D96" s="77" t="n">
        <f aca="false">IF(COUNTIF(Impostazioni!$A$27:$A$56,A96)&gt;0,1,0)</f>
        <v>0</v>
      </c>
      <c r="E96" s="77" t="n">
        <f aca="false">IF(COUNTIFS(Impostazioni!$A$16:$A$23,"&lt;="&amp;A96,Impostazioni!$B$16:$B$23,"&gt;="&amp;A96)&gt;0,1,0)</f>
        <v>1</v>
      </c>
      <c r="F96" s="77" t="n">
        <f aca="false">IF(AND(C96=1,D96=0,E96=0),1,0)</f>
        <v>0</v>
      </c>
      <c r="G96" s="77" t="n">
        <f aca="false">(YEAR(A96)-YEAR(Impostazioni!$B$11))*12+MONTH(A96)-MONTH(Impostazioni!$B$11)</f>
        <v>3</v>
      </c>
      <c r="H96" s="77" t="n">
        <f aca="false">INT((DAY(A96)-1+WEEKDAY(DATE(YEAR(A96),MONTH(A96),1),2)-1)/7)</f>
        <v>0</v>
      </c>
      <c r="I96" s="77" t="str">
        <f aca="false">IF(G96&gt;11,"",INDEX(Calendario!$A$14:$G$193,4+15*G96+2*H96,WEEKDAY(A96,2))&amp;"")</f>
        <v/>
      </c>
      <c r="J96" s="77" t="n">
        <f aca="false">IF(AND(F96=1,I96="A"),1,0)</f>
        <v>0</v>
      </c>
      <c r="K96" s="77" t="n">
        <f aca="false">IF(AND(F96=1,I96="G"),1,0)</f>
        <v>0</v>
      </c>
      <c r="L96" s="77" t="n">
        <f aca="false">IF(AND(F96=1,A96&gt;=Impostazioni!$B$8),1,0)</f>
        <v>0</v>
      </c>
      <c r="M96" s="77" t="n">
        <f aca="false">IF(C96=0,3,IF(OR(D96=1,E96=1),2,IF(WEEKDAY(A96,2)&gt;5,1,0)))</f>
        <v>2</v>
      </c>
      <c r="N96" s="77" t="str">
        <f aca="false">IF(OR(I96="A",I96="G"),MAX(N$1:N95)+1,"")</f>
        <v/>
      </c>
    </row>
    <row r="97" customFormat="false" ht="15" hidden="false" customHeight="false" outlineLevel="0" collapsed="false">
      <c r="A97" s="75" t="n">
        <f aca="false">A96+1</f>
        <v>46391</v>
      </c>
      <c r="B97" s="76" t="n">
        <f aca="false">DATE(YEAR(A97),MONTH(A97),1)</f>
        <v>46388</v>
      </c>
      <c r="C97" s="77" t="n">
        <f aca="false">IF(AND(A97&gt;=Impostazioni!$B$4,A97&lt;=Impostazioni!$B$5),1,0)</f>
        <v>1</v>
      </c>
      <c r="D97" s="77" t="n">
        <f aca="false">IF(COUNTIF(Impostazioni!$A$27:$A$56,A97)&gt;0,1,0)</f>
        <v>0</v>
      </c>
      <c r="E97" s="77" t="n">
        <f aca="false">IF(COUNTIFS(Impostazioni!$A$16:$A$23,"&lt;="&amp;A97,Impostazioni!$B$16:$B$23,"&gt;="&amp;A97)&gt;0,1,0)</f>
        <v>1</v>
      </c>
      <c r="F97" s="77" t="n">
        <f aca="false">IF(AND(C97=1,D97=0,E97=0),1,0)</f>
        <v>0</v>
      </c>
      <c r="G97" s="77" t="n">
        <f aca="false">(YEAR(A97)-YEAR(Impostazioni!$B$11))*12+MONTH(A97)-MONTH(Impostazioni!$B$11)</f>
        <v>3</v>
      </c>
      <c r="H97" s="77" t="n">
        <f aca="false">INT((DAY(A97)-1+WEEKDAY(DATE(YEAR(A97),MONTH(A97),1),2)-1)/7)</f>
        <v>1</v>
      </c>
      <c r="I97" s="77" t="str">
        <f aca="false">IF(G97&gt;11,"",INDEX(Calendario!$A$14:$G$193,4+15*G97+2*H97,WEEKDAY(A97,2))&amp;"")</f>
        <v/>
      </c>
      <c r="J97" s="77" t="n">
        <f aca="false">IF(AND(F97=1,I97="A"),1,0)</f>
        <v>0</v>
      </c>
      <c r="K97" s="77" t="n">
        <f aca="false">IF(AND(F97=1,I97="G"),1,0)</f>
        <v>0</v>
      </c>
      <c r="L97" s="77" t="n">
        <f aca="false">IF(AND(F97=1,A97&gt;=Impostazioni!$B$8),1,0)</f>
        <v>0</v>
      </c>
      <c r="M97" s="77" t="n">
        <f aca="false">IF(C97=0,3,IF(OR(D97=1,E97=1),2,IF(WEEKDAY(A97,2)&gt;5,1,0)))</f>
        <v>2</v>
      </c>
      <c r="N97" s="77" t="str">
        <f aca="false">IF(OR(I97="A",I97="G"),MAX(N$1:N96)+1,"")</f>
        <v/>
      </c>
    </row>
    <row r="98" customFormat="false" ht="15" hidden="false" customHeight="false" outlineLevel="0" collapsed="false">
      <c r="A98" s="75" t="n">
        <f aca="false">A97+1</f>
        <v>46392</v>
      </c>
      <c r="B98" s="76" t="n">
        <f aca="false">DATE(YEAR(A98),MONTH(A98),1)</f>
        <v>46388</v>
      </c>
      <c r="C98" s="77" t="n">
        <f aca="false">IF(AND(A98&gt;=Impostazioni!$B$4,A98&lt;=Impostazioni!$B$5),1,0)</f>
        <v>1</v>
      </c>
      <c r="D98" s="77" t="n">
        <f aca="false">IF(COUNTIF(Impostazioni!$A$27:$A$56,A98)&gt;0,1,0)</f>
        <v>0</v>
      </c>
      <c r="E98" s="77" t="n">
        <f aca="false">IF(COUNTIFS(Impostazioni!$A$16:$A$23,"&lt;="&amp;A98,Impostazioni!$B$16:$B$23,"&gt;="&amp;A98)&gt;0,1,0)</f>
        <v>1</v>
      </c>
      <c r="F98" s="77" t="n">
        <f aca="false">IF(AND(C98=1,D98=0,E98=0),1,0)</f>
        <v>0</v>
      </c>
      <c r="G98" s="77" t="n">
        <f aca="false">(YEAR(A98)-YEAR(Impostazioni!$B$11))*12+MONTH(A98)-MONTH(Impostazioni!$B$11)</f>
        <v>3</v>
      </c>
      <c r="H98" s="77" t="n">
        <f aca="false">INT((DAY(A98)-1+WEEKDAY(DATE(YEAR(A98),MONTH(A98),1),2)-1)/7)</f>
        <v>1</v>
      </c>
      <c r="I98" s="77" t="str">
        <f aca="false">IF(G98&gt;11,"",INDEX(Calendario!$A$14:$G$193,4+15*G98+2*H98,WEEKDAY(A98,2))&amp;"")</f>
        <v/>
      </c>
      <c r="J98" s="77" t="n">
        <f aca="false">IF(AND(F98=1,I98="A"),1,0)</f>
        <v>0</v>
      </c>
      <c r="K98" s="77" t="n">
        <f aca="false">IF(AND(F98=1,I98="G"),1,0)</f>
        <v>0</v>
      </c>
      <c r="L98" s="77" t="n">
        <f aca="false">IF(AND(F98=1,A98&gt;=Impostazioni!$B$8),1,0)</f>
        <v>0</v>
      </c>
      <c r="M98" s="77" t="n">
        <f aca="false">IF(C98=0,3,IF(OR(D98=1,E98=1),2,IF(WEEKDAY(A98,2)&gt;5,1,0)))</f>
        <v>2</v>
      </c>
      <c r="N98" s="77" t="str">
        <f aca="false">IF(OR(I98="A",I98="G"),MAX(N$1:N97)+1,"")</f>
        <v/>
      </c>
    </row>
    <row r="99" customFormat="false" ht="15" hidden="false" customHeight="false" outlineLevel="0" collapsed="false">
      <c r="A99" s="75" t="n">
        <f aca="false">A98+1</f>
        <v>46393</v>
      </c>
      <c r="B99" s="76" t="n">
        <f aca="false">DATE(YEAR(A99),MONTH(A99),1)</f>
        <v>46388</v>
      </c>
      <c r="C99" s="77" t="n">
        <f aca="false">IF(AND(A99&gt;=Impostazioni!$B$4,A99&lt;=Impostazioni!$B$5),1,0)</f>
        <v>1</v>
      </c>
      <c r="D99" s="77" t="n">
        <f aca="false">IF(COUNTIF(Impostazioni!$A$27:$A$56,A99)&gt;0,1,0)</f>
        <v>1</v>
      </c>
      <c r="E99" s="77" t="n">
        <f aca="false">IF(COUNTIFS(Impostazioni!$A$16:$A$23,"&lt;="&amp;A99,Impostazioni!$B$16:$B$23,"&gt;="&amp;A99)&gt;0,1,0)</f>
        <v>1</v>
      </c>
      <c r="F99" s="77" t="n">
        <f aca="false">IF(AND(C99=1,D99=0,E99=0),1,0)</f>
        <v>0</v>
      </c>
      <c r="G99" s="77" t="n">
        <f aca="false">(YEAR(A99)-YEAR(Impostazioni!$B$11))*12+MONTH(A99)-MONTH(Impostazioni!$B$11)</f>
        <v>3</v>
      </c>
      <c r="H99" s="77" t="n">
        <f aca="false">INT((DAY(A99)-1+WEEKDAY(DATE(YEAR(A99),MONTH(A99),1),2)-1)/7)</f>
        <v>1</v>
      </c>
      <c r="I99" s="77" t="str">
        <f aca="false">IF(G99&gt;11,"",INDEX(Calendario!$A$14:$G$193,4+15*G99+2*H99,WEEKDAY(A99,2))&amp;"")</f>
        <v/>
      </c>
      <c r="J99" s="77" t="n">
        <f aca="false">IF(AND(F99=1,I99="A"),1,0)</f>
        <v>0</v>
      </c>
      <c r="K99" s="77" t="n">
        <f aca="false">IF(AND(F99=1,I99="G"),1,0)</f>
        <v>0</v>
      </c>
      <c r="L99" s="77" t="n">
        <f aca="false">IF(AND(F99=1,A99&gt;=Impostazioni!$B$8),1,0)</f>
        <v>0</v>
      </c>
      <c r="M99" s="77" t="n">
        <f aca="false">IF(C99=0,3,IF(OR(D99=1,E99=1),2,IF(WEEKDAY(A99,2)&gt;5,1,0)))</f>
        <v>2</v>
      </c>
      <c r="N99" s="77" t="str">
        <f aca="false">IF(OR(I99="A",I99="G"),MAX(N$1:N98)+1,"")</f>
        <v/>
      </c>
    </row>
    <row r="100" customFormat="false" ht="15" hidden="false" customHeight="false" outlineLevel="0" collapsed="false">
      <c r="A100" s="75" t="n">
        <f aca="false">A99+1</f>
        <v>46394</v>
      </c>
      <c r="B100" s="76" t="n">
        <f aca="false">DATE(YEAR(A100),MONTH(A100),1)</f>
        <v>46388</v>
      </c>
      <c r="C100" s="77" t="n">
        <f aca="false">IF(AND(A100&gt;=Impostazioni!$B$4,A100&lt;=Impostazioni!$B$5),1,0)</f>
        <v>1</v>
      </c>
      <c r="D100" s="77" t="n">
        <f aca="false">IF(COUNTIF(Impostazioni!$A$27:$A$56,A100)&gt;0,1,0)</f>
        <v>0</v>
      </c>
      <c r="E100" s="77" t="n">
        <f aca="false">IF(COUNTIFS(Impostazioni!$A$16:$A$23,"&lt;="&amp;A100,Impostazioni!$B$16:$B$23,"&gt;="&amp;A100)&gt;0,1,0)</f>
        <v>0</v>
      </c>
      <c r="F100" s="77" t="n">
        <f aca="false">IF(AND(C100=1,D100=0,E100=0),1,0)</f>
        <v>1</v>
      </c>
      <c r="G100" s="77" t="n">
        <f aca="false">(YEAR(A100)-YEAR(Impostazioni!$B$11))*12+MONTH(A100)-MONTH(Impostazioni!$B$11)</f>
        <v>3</v>
      </c>
      <c r="H100" s="77" t="n">
        <f aca="false">INT((DAY(A100)-1+WEEKDAY(DATE(YEAR(A100),MONTH(A100),1),2)-1)/7)</f>
        <v>1</v>
      </c>
      <c r="I100" s="77" t="str">
        <f aca="false">IF(G100&gt;11,"",INDEX(Calendario!$A$14:$G$193,4+15*G100+2*H100,WEEKDAY(A100,2))&amp;"")</f>
        <v/>
      </c>
      <c r="J100" s="77" t="n">
        <f aca="false">IF(AND(F100=1,I100="A"),1,0)</f>
        <v>0</v>
      </c>
      <c r="K100" s="77" t="n">
        <f aca="false">IF(AND(F100=1,I100="G"),1,0)</f>
        <v>0</v>
      </c>
      <c r="L100" s="77" t="n">
        <f aca="false">IF(AND(F100=1,A100&gt;=Impostazioni!$B$8),1,0)</f>
        <v>1</v>
      </c>
      <c r="M100" s="77" t="n">
        <f aca="false">IF(C100=0,3,IF(OR(D100=1,E100=1),2,IF(WEEKDAY(A100,2)&gt;5,1,0)))</f>
        <v>0</v>
      </c>
      <c r="N100" s="77" t="str">
        <f aca="false">IF(OR(I100="A",I100="G"),MAX(N$1:N99)+1,"")</f>
        <v/>
      </c>
    </row>
    <row r="101" customFormat="false" ht="15" hidden="false" customHeight="false" outlineLevel="0" collapsed="false">
      <c r="A101" s="75" t="n">
        <f aca="false">A100+1</f>
        <v>46395</v>
      </c>
      <c r="B101" s="76" t="n">
        <f aca="false">DATE(YEAR(A101),MONTH(A101),1)</f>
        <v>46388</v>
      </c>
      <c r="C101" s="77" t="n">
        <f aca="false">IF(AND(A101&gt;=Impostazioni!$B$4,A101&lt;=Impostazioni!$B$5),1,0)</f>
        <v>1</v>
      </c>
      <c r="D101" s="77" t="n">
        <f aca="false">IF(COUNTIF(Impostazioni!$A$27:$A$56,A101)&gt;0,1,0)</f>
        <v>0</v>
      </c>
      <c r="E101" s="77" t="n">
        <f aca="false">IF(COUNTIFS(Impostazioni!$A$16:$A$23,"&lt;="&amp;A101,Impostazioni!$B$16:$B$23,"&gt;="&amp;A101)&gt;0,1,0)</f>
        <v>0</v>
      </c>
      <c r="F101" s="77" t="n">
        <f aca="false">IF(AND(C101=1,D101=0,E101=0),1,0)</f>
        <v>1</v>
      </c>
      <c r="G101" s="77" t="n">
        <f aca="false">(YEAR(A101)-YEAR(Impostazioni!$B$11))*12+MONTH(A101)-MONTH(Impostazioni!$B$11)</f>
        <v>3</v>
      </c>
      <c r="H101" s="77" t="n">
        <f aca="false">INT((DAY(A101)-1+WEEKDAY(DATE(YEAR(A101),MONTH(A101),1),2)-1)/7)</f>
        <v>1</v>
      </c>
      <c r="I101" s="77" t="str">
        <f aca="false">IF(G101&gt;11,"",INDEX(Calendario!$A$14:$G$193,4+15*G101+2*H101,WEEKDAY(A101,2))&amp;"")</f>
        <v/>
      </c>
      <c r="J101" s="77" t="n">
        <f aca="false">IF(AND(F101=1,I101="A"),1,0)</f>
        <v>0</v>
      </c>
      <c r="K101" s="77" t="n">
        <f aca="false">IF(AND(F101=1,I101="G"),1,0)</f>
        <v>0</v>
      </c>
      <c r="L101" s="77" t="n">
        <f aca="false">IF(AND(F101=1,A101&gt;=Impostazioni!$B$8),1,0)</f>
        <v>1</v>
      </c>
      <c r="M101" s="77" t="n">
        <f aca="false">IF(C101=0,3,IF(OR(D101=1,E101=1),2,IF(WEEKDAY(A101,2)&gt;5,1,0)))</f>
        <v>0</v>
      </c>
      <c r="N101" s="77" t="str">
        <f aca="false">IF(OR(I101="A",I101="G"),MAX(N$1:N100)+1,"")</f>
        <v/>
      </c>
    </row>
    <row r="102" customFormat="false" ht="15" hidden="false" customHeight="false" outlineLevel="0" collapsed="false">
      <c r="A102" s="75" t="n">
        <f aca="false">A101+1</f>
        <v>46396</v>
      </c>
      <c r="B102" s="76" t="n">
        <f aca="false">DATE(YEAR(A102),MONTH(A102),1)</f>
        <v>46388</v>
      </c>
      <c r="C102" s="77" t="n">
        <f aca="false">IF(AND(A102&gt;=Impostazioni!$B$4,A102&lt;=Impostazioni!$B$5),1,0)</f>
        <v>1</v>
      </c>
      <c r="D102" s="77" t="n">
        <f aca="false">IF(COUNTIF(Impostazioni!$A$27:$A$56,A102)&gt;0,1,0)</f>
        <v>0</v>
      </c>
      <c r="E102" s="77" t="n">
        <f aca="false">IF(COUNTIFS(Impostazioni!$A$16:$A$23,"&lt;="&amp;A102,Impostazioni!$B$16:$B$23,"&gt;="&amp;A102)&gt;0,1,0)</f>
        <v>0</v>
      </c>
      <c r="F102" s="77" t="n">
        <f aca="false">IF(AND(C102=1,D102=0,E102=0),1,0)</f>
        <v>1</v>
      </c>
      <c r="G102" s="77" t="n">
        <f aca="false">(YEAR(A102)-YEAR(Impostazioni!$B$11))*12+MONTH(A102)-MONTH(Impostazioni!$B$11)</f>
        <v>3</v>
      </c>
      <c r="H102" s="77" t="n">
        <f aca="false">INT((DAY(A102)-1+WEEKDAY(DATE(YEAR(A102),MONTH(A102),1),2)-1)/7)</f>
        <v>1</v>
      </c>
      <c r="I102" s="77" t="str">
        <f aca="false">IF(G102&gt;11,"",INDEX(Calendario!$A$14:$G$193,4+15*G102+2*H102,WEEKDAY(A102,2))&amp;"")</f>
        <v/>
      </c>
      <c r="J102" s="77" t="n">
        <f aca="false">IF(AND(F102=1,I102="A"),1,0)</f>
        <v>0</v>
      </c>
      <c r="K102" s="77" t="n">
        <f aca="false">IF(AND(F102=1,I102="G"),1,0)</f>
        <v>0</v>
      </c>
      <c r="L102" s="77" t="n">
        <f aca="false">IF(AND(F102=1,A102&gt;=Impostazioni!$B$8),1,0)</f>
        <v>1</v>
      </c>
      <c r="M102" s="77" t="n">
        <f aca="false">IF(C102=0,3,IF(OR(D102=1,E102=1),2,IF(WEEKDAY(A102,2)&gt;5,1,0)))</f>
        <v>1</v>
      </c>
      <c r="N102" s="77" t="str">
        <f aca="false">IF(OR(I102="A",I102="G"),MAX(N$1:N101)+1,"")</f>
        <v/>
      </c>
    </row>
    <row r="103" customFormat="false" ht="15" hidden="false" customHeight="false" outlineLevel="0" collapsed="false">
      <c r="A103" s="75" t="n">
        <f aca="false">A102+1</f>
        <v>46397</v>
      </c>
      <c r="B103" s="76" t="n">
        <f aca="false">DATE(YEAR(A103),MONTH(A103),1)</f>
        <v>46388</v>
      </c>
      <c r="C103" s="77" t="n">
        <f aca="false">IF(AND(A103&gt;=Impostazioni!$B$4,A103&lt;=Impostazioni!$B$5),1,0)</f>
        <v>1</v>
      </c>
      <c r="D103" s="77" t="n">
        <f aca="false">IF(COUNTIF(Impostazioni!$A$27:$A$56,A103)&gt;0,1,0)</f>
        <v>0</v>
      </c>
      <c r="E103" s="77" t="n">
        <f aca="false">IF(COUNTIFS(Impostazioni!$A$16:$A$23,"&lt;="&amp;A103,Impostazioni!$B$16:$B$23,"&gt;="&amp;A103)&gt;0,1,0)</f>
        <v>0</v>
      </c>
      <c r="F103" s="77" t="n">
        <f aca="false">IF(AND(C103=1,D103=0,E103=0),1,0)</f>
        <v>1</v>
      </c>
      <c r="G103" s="77" t="n">
        <f aca="false">(YEAR(A103)-YEAR(Impostazioni!$B$11))*12+MONTH(A103)-MONTH(Impostazioni!$B$11)</f>
        <v>3</v>
      </c>
      <c r="H103" s="77" t="n">
        <f aca="false">INT((DAY(A103)-1+WEEKDAY(DATE(YEAR(A103),MONTH(A103),1),2)-1)/7)</f>
        <v>1</v>
      </c>
      <c r="I103" s="77" t="str">
        <f aca="false">IF(G103&gt;11,"",INDEX(Calendario!$A$14:$G$193,4+15*G103+2*H103,WEEKDAY(A103,2))&amp;"")</f>
        <v/>
      </c>
      <c r="J103" s="77" t="n">
        <f aca="false">IF(AND(F103=1,I103="A"),1,0)</f>
        <v>0</v>
      </c>
      <c r="K103" s="77" t="n">
        <f aca="false">IF(AND(F103=1,I103="G"),1,0)</f>
        <v>0</v>
      </c>
      <c r="L103" s="77" t="n">
        <f aca="false">IF(AND(F103=1,A103&gt;=Impostazioni!$B$8),1,0)</f>
        <v>1</v>
      </c>
      <c r="M103" s="77" t="n">
        <f aca="false">IF(C103=0,3,IF(OR(D103=1,E103=1),2,IF(WEEKDAY(A103,2)&gt;5,1,0)))</f>
        <v>1</v>
      </c>
      <c r="N103" s="77" t="str">
        <f aca="false">IF(OR(I103="A",I103="G"),MAX(N$1:N102)+1,"")</f>
        <v/>
      </c>
    </row>
    <row r="104" customFormat="false" ht="15" hidden="false" customHeight="false" outlineLevel="0" collapsed="false">
      <c r="A104" s="75" t="n">
        <f aca="false">A103+1</f>
        <v>46398</v>
      </c>
      <c r="B104" s="76" t="n">
        <f aca="false">DATE(YEAR(A104),MONTH(A104),1)</f>
        <v>46388</v>
      </c>
      <c r="C104" s="77" t="n">
        <f aca="false">IF(AND(A104&gt;=Impostazioni!$B$4,A104&lt;=Impostazioni!$B$5),1,0)</f>
        <v>1</v>
      </c>
      <c r="D104" s="77" t="n">
        <f aca="false">IF(COUNTIF(Impostazioni!$A$27:$A$56,A104)&gt;0,1,0)</f>
        <v>0</v>
      </c>
      <c r="E104" s="77" t="n">
        <f aca="false">IF(COUNTIFS(Impostazioni!$A$16:$A$23,"&lt;="&amp;A104,Impostazioni!$B$16:$B$23,"&gt;="&amp;A104)&gt;0,1,0)</f>
        <v>0</v>
      </c>
      <c r="F104" s="77" t="n">
        <f aca="false">IF(AND(C104=1,D104=0,E104=0),1,0)</f>
        <v>1</v>
      </c>
      <c r="G104" s="77" t="n">
        <f aca="false">(YEAR(A104)-YEAR(Impostazioni!$B$11))*12+MONTH(A104)-MONTH(Impostazioni!$B$11)</f>
        <v>3</v>
      </c>
      <c r="H104" s="77" t="n">
        <f aca="false">INT((DAY(A104)-1+WEEKDAY(DATE(YEAR(A104),MONTH(A104),1),2)-1)/7)</f>
        <v>2</v>
      </c>
      <c r="I104" s="77" t="str">
        <f aca="false">IF(G104&gt;11,"",INDEX(Calendario!$A$14:$G$193,4+15*G104+2*H104,WEEKDAY(A104,2))&amp;"")</f>
        <v/>
      </c>
      <c r="J104" s="77" t="n">
        <f aca="false">IF(AND(F104=1,I104="A"),1,0)</f>
        <v>0</v>
      </c>
      <c r="K104" s="77" t="n">
        <f aca="false">IF(AND(F104=1,I104="G"),1,0)</f>
        <v>0</v>
      </c>
      <c r="L104" s="77" t="n">
        <f aca="false">IF(AND(F104=1,A104&gt;=Impostazioni!$B$8),1,0)</f>
        <v>1</v>
      </c>
      <c r="M104" s="77" t="n">
        <f aca="false">IF(C104=0,3,IF(OR(D104=1,E104=1),2,IF(WEEKDAY(A104,2)&gt;5,1,0)))</f>
        <v>0</v>
      </c>
      <c r="N104" s="77" t="str">
        <f aca="false">IF(OR(I104="A",I104="G"),MAX(N$1:N103)+1,"")</f>
        <v/>
      </c>
    </row>
    <row r="105" customFormat="false" ht="15" hidden="false" customHeight="false" outlineLevel="0" collapsed="false">
      <c r="A105" s="75" t="n">
        <f aca="false">A104+1</f>
        <v>46399</v>
      </c>
      <c r="B105" s="76" t="n">
        <f aca="false">DATE(YEAR(A105),MONTH(A105),1)</f>
        <v>46388</v>
      </c>
      <c r="C105" s="77" t="n">
        <f aca="false">IF(AND(A105&gt;=Impostazioni!$B$4,A105&lt;=Impostazioni!$B$5),1,0)</f>
        <v>1</v>
      </c>
      <c r="D105" s="77" t="n">
        <f aca="false">IF(COUNTIF(Impostazioni!$A$27:$A$56,A105)&gt;0,1,0)</f>
        <v>0</v>
      </c>
      <c r="E105" s="77" t="n">
        <f aca="false">IF(COUNTIFS(Impostazioni!$A$16:$A$23,"&lt;="&amp;A105,Impostazioni!$B$16:$B$23,"&gt;="&amp;A105)&gt;0,1,0)</f>
        <v>0</v>
      </c>
      <c r="F105" s="77" t="n">
        <f aca="false">IF(AND(C105=1,D105=0,E105=0),1,0)</f>
        <v>1</v>
      </c>
      <c r="G105" s="77" t="n">
        <f aca="false">(YEAR(A105)-YEAR(Impostazioni!$B$11))*12+MONTH(A105)-MONTH(Impostazioni!$B$11)</f>
        <v>3</v>
      </c>
      <c r="H105" s="77" t="n">
        <f aca="false">INT((DAY(A105)-1+WEEKDAY(DATE(YEAR(A105),MONTH(A105),1),2)-1)/7)</f>
        <v>2</v>
      </c>
      <c r="I105" s="77" t="str">
        <f aca="false">IF(G105&gt;11,"",INDEX(Calendario!$A$14:$G$193,4+15*G105+2*H105,WEEKDAY(A105,2))&amp;"")</f>
        <v/>
      </c>
      <c r="J105" s="77" t="n">
        <f aca="false">IF(AND(F105=1,I105="A"),1,0)</f>
        <v>0</v>
      </c>
      <c r="K105" s="77" t="n">
        <f aca="false">IF(AND(F105=1,I105="G"),1,0)</f>
        <v>0</v>
      </c>
      <c r="L105" s="77" t="n">
        <f aca="false">IF(AND(F105=1,A105&gt;=Impostazioni!$B$8),1,0)</f>
        <v>1</v>
      </c>
      <c r="M105" s="77" t="n">
        <f aca="false">IF(C105=0,3,IF(OR(D105=1,E105=1),2,IF(WEEKDAY(A105,2)&gt;5,1,0)))</f>
        <v>0</v>
      </c>
      <c r="N105" s="77" t="str">
        <f aca="false">IF(OR(I105="A",I105="G"),MAX(N$1:N104)+1,"")</f>
        <v/>
      </c>
    </row>
    <row r="106" customFormat="false" ht="15" hidden="false" customHeight="false" outlineLevel="0" collapsed="false">
      <c r="A106" s="75" t="n">
        <f aca="false">A105+1</f>
        <v>46400</v>
      </c>
      <c r="B106" s="76" t="n">
        <f aca="false">DATE(YEAR(A106),MONTH(A106),1)</f>
        <v>46388</v>
      </c>
      <c r="C106" s="77" t="n">
        <f aca="false">IF(AND(A106&gt;=Impostazioni!$B$4,A106&lt;=Impostazioni!$B$5),1,0)</f>
        <v>1</v>
      </c>
      <c r="D106" s="77" t="n">
        <f aca="false">IF(COUNTIF(Impostazioni!$A$27:$A$56,A106)&gt;0,1,0)</f>
        <v>0</v>
      </c>
      <c r="E106" s="77" t="n">
        <f aca="false">IF(COUNTIFS(Impostazioni!$A$16:$A$23,"&lt;="&amp;A106,Impostazioni!$B$16:$B$23,"&gt;="&amp;A106)&gt;0,1,0)</f>
        <v>0</v>
      </c>
      <c r="F106" s="77" t="n">
        <f aca="false">IF(AND(C106=1,D106=0,E106=0),1,0)</f>
        <v>1</v>
      </c>
      <c r="G106" s="77" t="n">
        <f aca="false">(YEAR(A106)-YEAR(Impostazioni!$B$11))*12+MONTH(A106)-MONTH(Impostazioni!$B$11)</f>
        <v>3</v>
      </c>
      <c r="H106" s="77" t="n">
        <f aca="false">INT((DAY(A106)-1+WEEKDAY(DATE(YEAR(A106),MONTH(A106),1),2)-1)/7)</f>
        <v>2</v>
      </c>
      <c r="I106" s="77" t="str">
        <f aca="false">IF(G106&gt;11,"",INDEX(Calendario!$A$14:$G$193,4+15*G106+2*H106,WEEKDAY(A106,2))&amp;"")</f>
        <v/>
      </c>
      <c r="J106" s="77" t="n">
        <f aca="false">IF(AND(F106=1,I106="A"),1,0)</f>
        <v>0</v>
      </c>
      <c r="K106" s="77" t="n">
        <f aca="false">IF(AND(F106=1,I106="G"),1,0)</f>
        <v>0</v>
      </c>
      <c r="L106" s="77" t="n">
        <f aca="false">IF(AND(F106=1,A106&gt;=Impostazioni!$B$8),1,0)</f>
        <v>1</v>
      </c>
      <c r="M106" s="77" t="n">
        <f aca="false">IF(C106=0,3,IF(OR(D106=1,E106=1),2,IF(WEEKDAY(A106,2)&gt;5,1,0)))</f>
        <v>0</v>
      </c>
      <c r="N106" s="77" t="str">
        <f aca="false">IF(OR(I106="A",I106="G"),MAX(N$1:N105)+1,"")</f>
        <v/>
      </c>
    </row>
    <row r="107" customFormat="false" ht="15" hidden="false" customHeight="false" outlineLevel="0" collapsed="false">
      <c r="A107" s="75" t="n">
        <f aca="false">A106+1</f>
        <v>46401</v>
      </c>
      <c r="B107" s="76" t="n">
        <f aca="false">DATE(YEAR(A107),MONTH(A107),1)</f>
        <v>46388</v>
      </c>
      <c r="C107" s="77" t="n">
        <f aca="false">IF(AND(A107&gt;=Impostazioni!$B$4,A107&lt;=Impostazioni!$B$5),1,0)</f>
        <v>1</v>
      </c>
      <c r="D107" s="77" t="n">
        <f aca="false">IF(COUNTIF(Impostazioni!$A$27:$A$56,A107)&gt;0,1,0)</f>
        <v>0</v>
      </c>
      <c r="E107" s="77" t="n">
        <f aca="false">IF(COUNTIFS(Impostazioni!$A$16:$A$23,"&lt;="&amp;A107,Impostazioni!$B$16:$B$23,"&gt;="&amp;A107)&gt;0,1,0)</f>
        <v>0</v>
      </c>
      <c r="F107" s="77" t="n">
        <f aca="false">IF(AND(C107=1,D107=0,E107=0),1,0)</f>
        <v>1</v>
      </c>
      <c r="G107" s="77" t="n">
        <f aca="false">(YEAR(A107)-YEAR(Impostazioni!$B$11))*12+MONTH(A107)-MONTH(Impostazioni!$B$11)</f>
        <v>3</v>
      </c>
      <c r="H107" s="77" t="n">
        <f aca="false">INT((DAY(A107)-1+WEEKDAY(DATE(YEAR(A107),MONTH(A107),1),2)-1)/7)</f>
        <v>2</v>
      </c>
      <c r="I107" s="77" t="str">
        <f aca="false">IF(G107&gt;11,"",INDEX(Calendario!$A$14:$G$193,4+15*G107+2*H107,WEEKDAY(A107,2))&amp;"")</f>
        <v/>
      </c>
      <c r="J107" s="77" t="n">
        <f aca="false">IF(AND(F107=1,I107="A"),1,0)</f>
        <v>0</v>
      </c>
      <c r="K107" s="77" t="n">
        <f aca="false">IF(AND(F107=1,I107="G"),1,0)</f>
        <v>0</v>
      </c>
      <c r="L107" s="77" t="n">
        <f aca="false">IF(AND(F107=1,A107&gt;=Impostazioni!$B$8),1,0)</f>
        <v>1</v>
      </c>
      <c r="M107" s="77" t="n">
        <f aca="false">IF(C107=0,3,IF(OR(D107=1,E107=1),2,IF(WEEKDAY(A107,2)&gt;5,1,0)))</f>
        <v>0</v>
      </c>
      <c r="N107" s="77" t="str">
        <f aca="false">IF(OR(I107="A",I107="G"),MAX(N$1:N106)+1,"")</f>
        <v/>
      </c>
    </row>
    <row r="108" customFormat="false" ht="15" hidden="false" customHeight="false" outlineLevel="0" collapsed="false">
      <c r="A108" s="75" t="n">
        <f aca="false">A107+1</f>
        <v>46402</v>
      </c>
      <c r="B108" s="76" t="n">
        <f aca="false">DATE(YEAR(A108),MONTH(A108),1)</f>
        <v>46388</v>
      </c>
      <c r="C108" s="77" t="n">
        <f aca="false">IF(AND(A108&gt;=Impostazioni!$B$4,A108&lt;=Impostazioni!$B$5),1,0)</f>
        <v>1</v>
      </c>
      <c r="D108" s="77" t="n">
        <f aca="false">IF(COUNTIF(Impostazioni!$A$27:$A$56,A108)&gt;0,1,0)</f>
        <v>0</v>
      </c>
      <c r="E108" s="77" t="n">
        <f aca="false">IF(COUNTIFS(Impostazioni!$A$16:$A$23,"&lt;="&amp;A108,Impostazioni!$B$16:$B$23,"&gt;="&amp;A108)&gt;0,1,0)</f>
        <v>0</v>
      </c>
      <c r="F108" s="77" t="n">
        <f aca="false">IF(AND(C108=1,D108=0,E108=0),1,0)</f>
        <v>1</v>
      </c>
      <c r="G108" s="77" t="n">
        <f aca="false">(YEAR(A108)-YEAR(Impostazioni!$B$11))*12+MONTH(A108)-MONTH(Impostazioni!$B$11)</f>
        <v>3</v>
      </c>
      <c r="H108" s="77" t="n">
        <f aca="false">INT((DAY(A108)-1+WEEKDAY(DATE(YEAR(A108),MONTH(A108),1),2)-1)/7)</f>
        <v>2</v>
      </c>
      <c r="I108" s="77" t="str">
        <f aca="false">IF(G108&gt;11,"",INDEX(Calendario!$A$14:$G$193,4+15*G108+2*H108,WEEKDAY(A108,2))&amp;"")</f>
        <v/>
      </c>
      <c r="J108" s="77" t="n">
        <f aca="false">IF(AND(F108=1,I108="A"),1,0)</f>
        <v>0</v>
      </c>
      <c r="K108" s="77" t="n">
        <f aca="false">IF(AND(F108=1,I108="G"),1,0)</f>
        <v>0</v>
      </c>
      <c r="L108" s="77" t="n">
        <f aca="false">IF(AND(F108=1,A108&gt;=Impostazioni!$B$8),1,0)</f>
        <v>1</v>
      </c>
      <c r="M108" s="77" t="n">
        <f aca="false">IF(C108=0,3,IF(OR(D108=1,E108=1),2,IF(WEEKDAY(A108,2)&gt;5,1,0)))</f>
        <v>0</v>
      </c>
      <c r="N108" s="77" t="str">
        <f aca="false">IF(OR(I108="A",I108="G"),MAX(N$1:N107)+1,"")</f>
        <v/>
      </c>
    </row>
    <row r="109" customFormat="false" ht="15" hidden="false" customHeight="false" outlineLevel="0" collapsed="false">
      <c r="A109" s="75" t="n">
        <f aca="false">A108+1</f>
        <v>46403</v>
      </c>
      <c r="B109" s="76" t="n">
        <f aca="false">DATE(YEAR(A109),MONTH(A109),1)</f>
        <v>46388</v>
      </c>
      <c r="C109" s="77" t="n">
        <f aca="false">IF(AND(A109&gt;=Impostazioni!$B$4,A109&lt;=Impostazioni!$B$5),1,0)</f>
        <v>1</v>
      </c>
      <c r="D109" s="77" t="n">
        <f aca="false">IF(COUNTIF(Impostazioni!$A$27:$A$56,A109)&gt;0,1,0)</f>
        <v>0</v>
      </c>
      <c r="E109" s="77" t="n">
        <f aca="false">IF(COUNTIFS(Impostazioni!$A$16:$A$23,"&lt;="&amp;A109,Impostazioni!$B$16:$B$23,"&gt;="&amp;A109)&gt;0,1,0)</f>
        <v>0</v>
      </c>
      <c r="F109" s="77" t="n">
        <f aca="false">IF(AND(C109=1,D109=0,E109=0),1,0)</f>
        <v>1</v>
      </c>
      <c r="G109" s="77" t="n">
        <f aca="false">(YEAR(A109)-YEAR(Impostazioni!$B$11))*12+MONTH(A109)-MONTH(Impostazioni!$B$11)</f>
        <v>3</v>
      </c>
      <c r="H109" s="77" t="n">
        <f aca="false">INT((DAY(A109)-1+WEEKDAY(DATE(YEAR(A109),MONTH(A109),1),2)-1)/7)</f>
        <v>2</v>
      </c>
      <c r="I109" s="77" t="str">
        <f aca="false">IF(G109&gt;11,"",INDEX(Calendario!$A$14:$G$193,4+15*G109+2*H109,WEEKDAY(A109,2))&amp;"")</f>
        <v/>
      </c>
      <c r="J109" s="77" t="n">
        <f aca="false">IF(AND(F109=1,I109="A"),1,0)</f>
        <v>0</v>
      </c>
      <c r="K109" s="77" t="n">
        <f aca="false">IF(AND(F109=1,I109="G"),1,0)</f>
        <v>0</v>
      </c>
      <c r="L109" s="77" t="n">
        <f aca="false">IF(AND(F109=1,A109&gt;=Impostazioni!$B$8),1,0)</f>
        <v>1</v>
      </c>
      <c r="M109" s="77" t="n">
        <f aca="false">IF(C109=0,3,IF(OR(D109=1,E109=1),2,IF(WEEKDAY(A109,2)&gt;5,1,0)))</f>
        <v>1</v>
      </c>
      <c r="N109" s="77" t="str">
        <f aca="false">IF(OR(I109="A",I109="G"),MAX(N$1:N108)+1,"")</f>
        <v/>
      </c>
    </row>
    <row r="110" customFormat="false" ht="15" hidden="false" customHeight="false" outlineLevel="0" collapsed="false">
      <c r="A110" s="75" t="n">
        <f aca="false">A109+1</f>
        <v>46404</v>
      </c>
      <c r="B110" s="76" t="n">
        <f aca="false">DATE(YEAR(A110),MONTH(A110),1)</f>
        <v>46388</v>
      </c>
      <c r="C110" s="77" t="n">
        <f aca="false">IF(AND(A110&gt;=Impostazioni!$B$4,A110&lt;=Impostazioni!$B$5),1,0)</f>
        <v>1</v>
      </c>
      <c r="D110" s="77" t="n">
        <f aca="false">IF(COUNTIF(Impostazioni!$A$27:$A$56,A110)&gt;0,1,0)</f>
        <v>0</v>
      </c>
      <c r="E110" s="77" t="n">
        <f aca="false">IF(COUNTIFS(Impostazioni!$A$16:$A$23,"&lt;="&amp;A110,Impostazioni!$B$16:$B$23,"&gt;="&amp;A110)&gt;0,1,0)</f>
        <v>0</v>
      </c>
      <c r="F110" s="77" t="n">
        <f aca="false">IF(AND(C110=1,D110=0,E110=0),1,0)</f>
        <v>1</v>
      </c>
      <c r="G110" s="77" t="n">
        <f aca="false">(YEAR(A110)-YEAR(Impostazioni!$B$11))*12+MONTH(A110)-MONTH(Impostazioni!$B$11)</f>
        <v>3</v>
      </c>
      <c r="H110" s="77" t="n">
        <f aca="false">INT((DAY(A110)-1+WEEKDAY(DATE(YEAR(A110),MONTH(A110),1),2)-1)/7)</f>
        <v>2</v>
      </c>
      <c r="I110" s="77" t="str">
        <f aca="false">IF(G110&gt;11,"",INDEX(Calendario!$A$14:$G$193,4+15*G110+2*H110,WEEKDAY(A110,2))&amp;"")</f>
        <v/>
      </c>
      <c r="J110" s="77" t="n">
        <f aca="false">IF(AND(F110=1,I110="A"),1,0)</f>
        <v>0</v>
      </c>
      <c r="K110" s="77" t="n">
        <f aca="false">IF(AND(F110=1,I110="G"),1,0)</f>
        <v>0</v>
      </c>
      <c r="L110" s="77" t="n">
        <f aca="false">IF(AND(F110=1,A110&gt;=Impostazioni!$B$8),1,0)</f>
        <v>1</v>
      </c>
      <c r="M110" s="77" t="n">
        <f aca="false">IF(C110=0,3,IF(OR(D110=1,E110=1),2,IF(WEEKDAY(A110,2)&gt;5,1,0)))</f>
        <v>1</v>
      </c>
      <c r="N110" s="77" t="str">
        <f aca="false">IF(OR(I110="A",I110="G"),MAX(N$1:N109)+1,"")</f>
        <v/>
      </c>
    </row>
    <row r="111" customFormat="false" ht="15" hidden="false" customHeight="false" outlineLevel="0" collapsed="false">
      <c r="A111" s="75" t="n">
        <f aca="false">A110+1</f>
        <v>46405</v>
      </c>
      <c r="B111" s="76" t="n">
        <f aca="false">DATE(YEAR(A111),MONTH(A111),1)</f>
        <v>46388</v>
      </c>
      <c r="C111" s="77" t="n">
        <f aca="false">IF(AND(A111&gt;=Impostazioni!$B$4,A111&lt;=Impostazioni!$B$5),1,0)</f>
        <v>1</v>
      </c>
      <c r="D111" s="77" t="n">
        <f aca="false">IF(COUNTIF(Impostazioni!$A$27:$A$56,A111)&gt;0,1,0)</f>
        <v>0</v>
      </c>
      <c r="E111" s="77" t="n">
        <f aca="false">IF(COUNTIFS(Impostazioni!$A$16:$A$23,"&lt;="&amp;A111,Impostazioni!$B$16:$B$23,"&gt;="&amp;A111)&gt;0,1,0)</f>
        <v>0</v>
      </c>
      <c r="F111" s="77" t="n">
        <f aca="false">IF(AND(C111=1,D111=0,E111=0),1,0)</f>
        <v>1</v>
      </c>
      <c r="G111" s="77" t="n">
        <f aca="false">(YEAR(A111)-YEAR(Impostazioni!$B$11))*12+MONTH(A111)-MONTH(Impostazioni!$B$11)</f>
        <v>3</v>
      </c>
      <c r="H111" s="77" t="n">
        <f aca="false">INT((DAY(A111)-1+WEEKDAY(DATE(YEAR(A111),MONTH(A111),1),2)-1)/7)</f>
        <v>3</v>
      </c>
      <c r="I111" s="77" t="str">
        <f aca="false">IF(G111&gt;11,"",INDEX(Calendario!$A$14:$G$193,4+15*G111+2*H111,WEEKDAY(A111,2))&amp;"")</f>
        <v/>
      </c>
      <c r="J111" s="77" t="n">
        <f aca="false">IF(AND(F111=1,I111="A"),1,0)</f>
        <v>0</v>
      </c>
      <c r="K111" s="77" t="n">
        <f aca="false">IF(AND(F111=1,I111="G"),1,0)</f>
        <v>0</v>
      </c>
      <c r="L111" s="77" t="n">
        <f aca="false">IF(AND(F111=1,A111&gt;=Impostazioni!$B$8),1,0)</f>
        <v>1</v>
      </c>
      <c r="M111" s="77" t="n">
        <f aca="false">IF(C111=0,3,IF(OR(D111=1,E111=1),2,IF(WEEKDAY(A111,2)&gt;5,1,0)))</f>
        <v>0</v>
      </c>
      <c r="N111" s="77" t="str">
        <f aca="false">IF(OR(I111="A",I111="G"),MAX(N$1:N110)+1,"")</f>
        <v/>
      </c>
    </row>
    <row r="112" customFormat="false" ht="15" hidden="false" customHeight="false" outlineLevel="0" collapsed="false">
      <c r="A112" s="75" t="n">
        <f aca="false">A111+1</f>
        <v>46406</v>
      </c>
      <c r="B112" s="76" t="n">
        <f aca="false">DATE(YEAR(A112),MONTH(A112),1)</f>
        <v>46388</v>
      </c>
      <c r="C112" s="77" t="n">
        <f aca="false">IF(AND(A112&gt;=Impostazioni!$B$4,A112&lt;=Impostazioni!$B$5),1,0)</f>
        <v>1</v>
      </c>
      <c r="D112" s="77" t="n">
        <f aca="false">IF(COUNTIF(Impostazioni!$A$27:$A$56,A112)&gt;0,1,0)</f>
        <v>0</v>
      </c>
      <c r="E112" s="77" t="n">
        <f aca="false">IF(COUNTIFS(Impostazioni!$A$16:$A$23,"&lt;="&amp;A112,Impostazioni!$B$16:$B$23,"&gt;="&amp;A112)&gt;0,1,0)</f>
        <v>0</v>
      </c>
      <c r="F112" s="77" t="n">
        <f aca="false">IF(AND(C112=1,D112=0,E112=0),1,0)</f>
        <v>1</v>
      </c>
      <c r="G112" s="77" t="n">
        <f aca="false">(YEAR(A112)-YEAR(Impostazioni!$B$11))*12+MONTH(A112)-MONTH(Impostazioni!$B$11)</f>
        <v>3</v>
      </c>
      <c r="H112" s="77" t="n">
        <f aca="false">INT((DAY(A112)-1+WEEKDAY(DATE(YEAR(A112),MONTH(A112),1),2)-1)/7)</f>
        <v>3</v>
      </c>
      <c r="I112" s="77" t="str">
        <f aca="false">IF(G112&gt;11,"",INDEX(Calendario!$A$14:$G$193,4+15*G112+2*H112,WEEKDAY(A112,2))&amp;"")</f>
        <v/>
      </c>
      <c r="J112" s="77" t="n">
        <f aca="false">IF(AND(F112=1,I112="A"),1,0)</f>
        <v>0</v>
      </c>
      <c r="K112" s="77" t="n">
        <f aca="false">IF(AND(F112=1,I112="G"),1,0)</f>
        <v>0</v>
      </c>
      <c r="L112" s="77" t="n">
        <f aca="false">IF(AND(F112=1,A112&gt;=Impostazioni!$B$8),1,0)</f>
        <v>1</v>
      </c>
      <c r="M112" s="77" t="n">
        <f aca="false">IF(C112=0,3,IF(OR(D112=1,E112=1),2,IF(WEEKDAY(A112,2)&gt;5,1,0)))</f>
        <v>0</v>
      </c>
      <c r="N112" s="77" t="str">
        <f aca="false">IF(OR(I112="A",I112="G"),MAX(N$1:N111)+1,"")</f>
        <v/>
      </c>
    </row>
    <row r="113" customFormat="false" ht="15" hidden="false" customHeight="false" outlineLevel="0" collapsed="false">
      <c r="A113" s="75" t="n">
        <f aca="false">A112+1</f>
        <v>46407</v>
      </c>
      <c r="B113" s="76" t="n">
        <f aca="false">DATE(YEAR(A113),MONTH(A113),1)</f>
        <v>46388</v>
      </c>
      <c r="C113" s="77" t="n">
        <f aca="false">IF(AND(A113&gt;=Impostazioni!$B$4,A113&lt;=Impostazioni!$B$5),1,0)</f>
        <v>1</v>
      </c>
      <c r="D113" s="77" t="n">
        <f aca="false">IF(COUNTIF(Impostazioni!$A$27:$A$56,A113)&gt;0,1,0)</f>
        <v>0</v>
      </c>
      <c r="E113" s="77" t="n">
        <f aca="false">IF(COUNTIFS(Impostazioni!$A$16:$A$23,"&lt;="&amp;A113,Impostazioni!$B$16:$B$23,"&gt;="&amp;A113)&gt;0,1,0)</f>
        <v>0</v>
      </c>
      <c r="F113" s="77" t="n">
        <f aca="false">IF(AND(C113=1,D113=0,E113=0),1,0)</f>
        <v>1</v>
      </c>
      <c r="G113" s="77" t="n">
        <f aca="false">(YEAR(A113)-YEAR(Impostazioni!$B$11))*12+MONTH(A113)-MONTH(Impostazioni!$B$11)</f>
        <v>3</v>
      </c>
      <c r="H113" s="77" t="n">
        <f aca="false">INT((DAY(A113)-1+WEEKDAY(DATE(YEAR(A113),MONTH(A113),1),2)-1)/7)</f>
        <v>3</v>
      </c>
      <c r="I113" s="77" t="str">
        <f aca="false">IF(G113&gt;11,"",INDEX(Calendario!$A$14:$G$193,4+15*G113+2*H113,WEEKDAY(A113,2))&amp;"")</f>
        <v/>
      </c>
      <c r="J113" s="77" t="n">
        <f aca="false">IF(AND(F113=1,I113="A"),1,0)</f>
        <v>0</v>
      </c>
      <c r="K113" s="77" t="n">
        <f aca="false">IF(AND(F113=1,I113="G"),1,0)</f>
        <v>0</v>
      </c>
      <c r="L113" s="77" t="n">
        <f aca="false">IF(AND(F113=1,A113&gt;=Impostazioni!$B$8),1,0)</f>
        <v>1</v>
      </c>
      <c r="M113" s="77" t="n">
        <f aca="false">IF(C113=0,3,IF(OR(D113=1,E113=1),2,IF(WEEKDAY(A113,2)&gt;5,1,0)))</f>
        <v>0</v>
      </c>
      <c r="N113" s="77" t="str">
        <f aca="false">IF(OR(I113="A",I113="G"),MAX(N$1:N112)+1,"")</f>
        <v/>
      </c>
    </row>
    <row r="114" customFormat="false" ht="15" hidden="false" customHeight="false" outlineLevel="0" collapsed="false">
      <c r="A114" s="75" t="n">
        <f aca="false">A113+1</f>
        <v>46408</v>
      </c>
      <c r="B114" s="76" t="n">
        <f aca="false">DATE(YEAR(A114),MONTH(A114),1)</f>
        <v>46388</v>
      </c>
      <c r="C114" s="77" t="n">
        <f aca="false">IF(AND(A114&gt;=Impostazioni!$B$4,A114&lt;=Impostazioni!$B$5),1,0)</f>
        <v>1</v>
      </c>
      <c r="D114" s="77" t="n">
        <f aca="false">IF(COUNTIF(Impostazioni!$A$27:$A$56,A114)&gt;0,1,0)</f>
        <v>0</v>
      </c>
      <c r="E114" s="77" t="n">
        <f aca="false">IF(COUNTIFS(Impostazioni!$A$16:$A$23,"&lt;="&amp;A114,Impostazioni!$B$16:$B$23,"&gt;="&amp;A114)&gt;0,1,0)</f>
        <v>0</v>
      </c>
      <c r="F114" s="77" t="n">
        <f aca="false">IF(AND(C114=1,D114=0,E114=0),1,0)</f>
        <v>1</v>
      </c>
      <c r="G114" s="77" t="n">
        <f aca="false">(YEAR(A114)-YEAR(Impostazioni!$B$11))*12+MONTH(A114)-MONTH(Impostazioni!$B$11)</f>
        <v>3</v>
      </c>
      <c r="H114" s="77" t="n">
        <f aca="false">INT((DAY(A114)-1+WEEKDAY(DATE(YEAR(A114),MONTH(A114),1),2)-1)/7)</f>
        <v>3</v>
      </c>
      <c r="I114" s="77" t="str">
        <f aca="false">IF(G114&gt;11,"",INDEX(Calendario!$A$14:$G$193,4+15*G114+2*H114,WEEKDAY(A114,2))&amp;"")</f>
        <v/>
      </c>
      <c r="J114" s="77" t="n">
        <f aca="false">IF(AND(F114=1,I114="A"),1,0)</f>
        <v>0</v>
      </c>
      <c r="K114" s="77" t="n">
        <f aca="false">IF(AND(F114=1,I114="G"),1,0)</f>
        <v>0</v>
      </c>
      <c r="L114" s="77" t="n">
        <f aca="false">IF(AND(F114=1,A114&gt;=Impostazioni!$B$8),1,0)</f>
        <v>1</v>
      </c>
      <c r="M114" s="77" t="n">
        <f aca="false">IF(C114=0,3,IF(OR(D114=1,E114=1),2,IF(WEEKDAY(A114,2)&gt;5,1,0)))</f>
        <v>0</v>
      </c>
      <c r="N114" s="77" t="str">
        <f aca="false">IF(OR(I114="A",I114="G"),MAX(N$1:N113)+1,"")</f>
        <v/>
      </c>
    </row>
    <row r="115" customFormat="false" ht="15" hidden="false" customHeight="false" outlineLevel="0" collapsed="false">
      <c r="A115" s="75" t="n">
        <f aca="false">A114+1</f>
        <v>46409</v>
      </c>
      <c r="B115" s="76" t="n">
        <f aca="false">DATE(YEAR(A115),MONTH(A115),1)</f>
        <v>46388</v>
      </c>
      <c r="C115" s="77" t="n">
        <f aca="false">IF(AND(A115&gt;=Impostazioni!$B$4,A115&lt;=Impostazioni!$B$5),1,0)</f>
        <v>1</v>
      </c>
      <c r="D115" s="77" t="n">
        <f aca="false">IF(COUNTIF(Impostazioni!$A$27:$A$56,A115)&gt;0,1,0)</f>
        <v>0</v>
      </c>
      <c r="E115" s="77" t="n">
        <f aca="false">IF(COUNTIFS(Impostazioni!$A$16:$A$23,"&lt;="&amp;A115,Impostazioni!$B$16:$B$23,"&gt;="&amp;A115)&gt;0,1,0)</f>
        <v>0</v>
      </c>
      <c r="F115" s="77" t="n">
        <f aca="false">IF(AND(C115=1,D115=0,E115=0),1,0)</f>
        <v>1</v>
      </c>
      <c r="G115" s="77" t="n">
        <f aca="false">(YEAR(A115)-YEAR(Impostazioni!$B$11))*12+MONTH(A115)-MONTH(Impostazioni!$B$11)</f>
        <v>3</v>
      </c>
      <c r="H115" s="77" t="n">
        <f aca="false">INT((DAY(A115)-1+WEEKDAY(DATE(YEAR(A115),MONTH(A115),1),2)-1)/7)</f>
        <v>3</v>
      </c>
      <c r="I115" s="77" t="str">
        <f aca="false">IF(G115&gt;11,"",INDEX(Calendario!$A$14:$G$193,4+15*G115+2*H115,WEEKDAY(A115,2))&amp;"")</f>
        <v/>
      </c>
      <c r="J115" s="77" t="n">
        <f aca="false">IF(AND(F115=1,I115="A"),1,0)</f>
        <v>0</v>
      </c>
      <c r="K115" s="77" t="n">
        <f aca="false">IF(AND(F115=1,I115="G"),1,0)</f>
        <v>0</v>
      </c>
      <c r="L115" s="77" t="n">
        <f aca="false">IF(AND(F115=1,A115&gt;=Impostazioni!$B$8),1,0)</f>
        <v>1</v>
      </c>
      <c r="M115" s="77" t="n">
        <f aca="false">IF(C115=0,3,IF(OR(D115=1,E115=1),2,IF(WEEKDAY(A115,2)&gt;5,1,0)))</f>
        <v>0</v>
      </c>
      <c r="N115" s="77" t="str">
        <f aca="false">IF(OR(I115="A",I115="G"),MAX(N$1:N114)+1,"")</f>
        <v/>
      </c>
    </row>
    <row r="116" customFormat="false" ht="15" hidden="false" customHeight="false" outlineLevel="0" collapsed="false">
      <c r="A116" s="75" t="n">
        <f aca="false">A115+1</f>
        <v>46410</v>
      </c>
      <c r="B116" s="76" t="n">
        <f aca="false">DATE(YEAR(A116),MONTH(A116),1)</f>
        <v>46388</v>
      </c>
      <c r="C116" s="77" t="n">
        <f aca="false">IF(AND(A116&gt;=Impostazioni!$B$4,A116&lt;=Impostazioni!$B$5),1,0)</f>
        <v>1</v>
      </c>
      <c r="D116" s="77" t="n">
        <f aca="false">IF(COUNTIF(Impostazioni!$A$27:$A$56,A116)&gt;0,1,0)</f>
        <v>0</v>
      </c>
      <c r="E116" s="77" t="n">
        <f aca="false">IF(COUNTIFS(Impostazioni!$A$16:$A$23,"&lt;="&amp;A116,Impostazioni!$B$16:$B$23,"&gt;="&amp;A116)&gt;0,1,0)</f>
        <v>0</v>
      </c>
      <c r="F116" s="77" t="n">
        <f aca="false">IF(AND(C116=1,D116=0,E116=0),1,0)</f>
        <v>1</v>
      </c>
      <c r="G116" s="77" t="n">
        <f aca="false">(YEAR(A116)-YEAR(Impostazioni!$B$11))*12+MONTH(A116)-MONTH(Impostazioni!$B$11)</f>
        <v>3</v>
      </c>
      <c r="H116" s="77" t="n">
        <f aca="false">INT((DAY(A116)-1+WEEKDAY(DATE(YEAR(A116),MONTH(A116),1),2)-1)/7)</f>
        <v>3</v>
      </c>
      <c r="I116" s="77" t="str">
        <f aca="false">IF(G116&gt;11,"",INDEX(Calendario!$A$14:$G$193,4+15*G116+2*H116,WEEKDAY(A116,2))&amp;"")</f>
        <v/>
      </c>
      <c r="J116" s="77" t="n">
        <f aca="false">IF(AND(F116=1,I116="A"),1,0)</f>
        <v>0</v>
      </c>
      <c r="K116" s="77" t="n">
        <f aca="false">IF(AND(F116=1,I116="G"),1,0)</f>
        <v>0</v>
      </c>
      <c r="L116" s="77" t="n">
        <f aca="false">IF(AND(F116=1,A116&gt;=Impostazioni!$B$8),1,0)</f>
        <v>1</v>
      </c>
      <c r="M116" s="77" t="n">
        <f aca="false">IF(C116=0,3,IF(OR(D116=1,E116=1),2,IF(WEEKDAY(A116,2)&gt;5,1,0)))</f>
        <v>1</v>
      </c>
      <c r="N116" s="77" t="str">
        <f aca="false">IF(OR(I116="A",I116="G"),MAX(N$1:N115)+1,"")</f>
        <v/>
      </c>
    </row>
    <row r="117" customFormat="false" ht="15" hidden="false" customHeight="false" outlineLevel="0" collapsed="false">
      <c r="A117" s="75" t="n">
        <f aca="false">A116+1</f>
        <v>46411</v>
      </c>
      <c r="B117" s="76" t="n">
        <f aca="false">DATE(YEAR(A117),MONTH(A117),1)</f>
        <v>46388</v>
      </c>
      <c r="C117" s="77" t="n">
        <f aca="false">IF(AND(A117&gt;=Impostazioni!$B$4,A117&lt;=Impostazioni!$B$5),1,0)</f>
        <v>1</v>
      </c>
      <c r="D117" s="77" t="n">
        <f aca="false">IF(COUNTIF(Impostazioni!$A$27:$A$56,A117)&gt;0,1,0)</f>
        <v>0</v>
      </c>
      <c r="E117" s="77" t="n">
        <f aca="false">IF(COUNTIFS(Impostazioni!$A$16:$A$23,"&lt;="&amp;A117,Impostazioni!$B$16:$B$23,"&gt;="&amp;A117)&gt;0,1,0)</f>
        <v>0</v>
      </c>
      <c r="F117" s="77" t="n">
        <f aca="false">IF(AND(C117=1,D117=0,E117=0),1,0)</f>
        <v>1</v>
      </c>
      <c r="G117" s="77" t="n">
        <f aca="false">(YEAR(A117)-YEAR(Impostazioni!$B$11))*12+MONTH(A117)-MONTH(Impostazioni!$B$11)</f>
        <v>3</v>
      </c>
      <c r="H117" s="77" t="n">
        <f aca="false">INT((DAY(A117)-1+WEEKDAY(DATE(YEAR(A117),MONTH(A117),1),2)-1)/7)</f>
        <v>3</v>
      </c>
      <c r="I117" s="77" t="str">
        <f aca="false">IF(G117&gt;11,"",INDEX(Calendario!$A$14:$G$193,4+15*G117+2*H117,WEEKDAY(A117,2))&amp;"")</f>
        <v/>
      </c>
      <c r="J117" s="77" t="n">
        <f aca="false">IF(AND(F117=1,I117="A"),1,0)</f>
        <v>0</v>
      </c>
      <c r="K117" s="77" t="n">
        <f aca="false">IF(AND(F117=1,I117="G"),1,0)</f>
        <v>0</v>
      </c>
      <c r="L117" s="77" t="n">
        <f aca="false">IF(AND(F117=1,A117&gt;=Impostazioni!$B$8),1,0)</f>
        <v>1</v>
      </c>
      <c r="M117" s="77" t="n">
        <f aca="false">IF(C117=0,3,IF(OR(D117=1,E117=1),2,IF(WEEKDAY(A117,2)&gt;5,1,0)))</f>
        <v>1</v>
      </c>
      <c r="N117" s="77" t="str">
        <f aca="false">IF(OR(I117="A",I117="G"),MAX(N$1:N116)+1,"")</f>
        <v/>
      </c>
    </row>
    <row r="118" customFormat="false" ht="15" hidden="false" customHeight="false" outlineLevel="0" collapsed="false">
      <c r="A118" s="75" t="n">
        <f aca="false">A117+1</f>
        <v>46412</v>
      </c>
      <c r="B118" s="76" t="n">
        <f aca="false">DATE(YEAR(A118),MONTH(A118),1)</f>
        <v>46388</v>
      </c>
      <c r="C118" s="77" t="n">
        <f aca="false">IF(AND(A118&gt;=Impostazioni!$B$4,A118&lt;=Impostazioni!$B$5),1,0)</f>
        <v>1</v>
      </c>
      <c r="D118" s="77" t="n">
        <f aca="false">IF(COUNTIF(Impostazioni!$A$27:$A$56,A118)&gt;0,1,0)</f>
        <v>0</v>
      </c>
      <c r="E118" s="77" t="n">
        <f aca="false">IF(COUNTIFS(Impostazioni!$A$16:$A$23,"&lt;="&amp;A118,Impostazioni!$B$16:$B$23,"&gt;="&amp;A118)&gt;0,1,0)</f>
        <v>0</v>
      </c>
      <c r="F118" s="77" t="n">
        <f aca="false">IF(AND(C118=1,D118=0,E118=0),1,0)</f>
        <v>1</v>
      </c>
      <c r="G118" s="77" t="n">
        <f aca="false">(YEAR(A118)-YEAR(Impostazioni!$B$11))*12+MONTH(A118)-MONTH(Impostazioni!$B$11)</f>
        <v>3</v>
      </c>
      <c r="H118" s="77" t="n">
        <f aca="false">INT((DAY(A118)-1+WEEKDAY(DATE(YEAR(A118),MONTH(A118),1),2)-1)/7)</f>
        <v>4</v>
      </c>
      <c r="I118" s="77" t="str">
        <f aca="false">IF(G118&gt;11,"",INDEX(Calendario!$A$14:$G$193,4+15*G118+2*H118,WEEKDAY(A118,2))&amp;"")</f>
        <v/>
      </c>
      <c r="J118" s="77" t="n">
        <f aca="false">IF(AND(F118=1,I118="A"),1,0)</f>
        <v>0</v>
      </c>
      <c r="K118" s="77" t="n">
        <f aca="false">IF(AND(F118=1,I118="G"),1,0)</f>
        <v>0</v>
      </c>
      <c r="L118" s="77" t="n">
        <f aca="false">IF(AND(F118=1,A118&gt;=Impostazioni!$B$8),1,0)</f>
        <v>1</v>
      </c>
      <c r="M118" s="77" t="n">
        <f aca="false">IF(C118=0,3,IF(OR(D118=1,E118=1),2,IF(WEEKDAY(A118,2)&gt;5,1,0)))</f>
        <v>0</v>
      </c>
      <c r="N118" s="77" t="str">
        <f aca="false">IF(OR(I118="A",I118="G"),MAX(N$1:N117)+1,"")</f>
        <v/>
      </c>
    </row>
    <row r="119" customFormat="false" ht="15" hidden="false" customHeight="false" outlineLevel="0" collapsed="false">
      <c r="A119" s="75" t="n">
        <f aca="false">A118+1</f>
        <v>46413</v>
      </c>
      <c r="B119" s="76" t="n">
        <f aca="false">DATE(YEAR(A119),MONTH(A119),1)</f>
        <v>46388</v>
      </c>
      <c r="C119" s="77" t="n">
        <f aca="false">IF(AND(A119&gt;=Impostazioni!$B$4,A119&lt;=Impostazioni!$B$5),1,0)</f>
        <v>1</v>
      </c>
      <c r="D119" s="77" t="n">
        <f aca="false">IF(COUNTIF(Impostazioni!$A$27:$A$56,A119)&gt;0,1,0)</f>
        <v>0</v>
      </c>
      <c r="E119" s="77" t="n">
        <f aca="false">IF(COUNTIFS(Impostazioni!$A$16:$A$23,"&lt;="&amp;A119,Impostazioni!$B$16:$B$23,"&gt;="&amp;A119)&gt;0,1,0)</f>
        <v>0</v>
      </c>
      <c r="F119" s="77" t="n">
        <f aca="false">IF(AND(C119=1,D119=0,E119=0),1,0)</f>
        <v>1</v>
      </c>
      <c r="G119" s="77" t="n">
        <f aca="false">(YEAR(A119)-YEAR(Impostazioni!$B$11))*12+MONTH(A119)-MONTH(Impostazioni!$B$11)</f>
        <v>3</v>
      </c>
      <c r="H119" s="77" t="n">
        <f aca="false">INT((DAY(A119)-1+WEEKDAY(DATE(YEAR(A119),MONTH(A119),1),2)-1)/7)</f>
        <v>4</v>
      </c>
      <c r="I119" s="77" t="str">
        <f aca="false">IF(G119&gt;11,"",INDEX(Calendario!$A$14:$G$193,4+15*G119+2*H119,WEEKDAY(A119,2))&amp;"")</f>
        <v/>
      </c>
      <c r="J119" s="77" t="n">
        <f aca="false">IF(AND(F119=1,I119="A"),1,0)</f>
        <v>0</v>
      </c>
      <c r="K119" s="77" t="n">
        <f aca="false">IF(AND(F119=1,I119="G"),1,0)</f>
        <v>0</v>
      </c>
      <c r="L119" s="77" t="n">
        <f aca="false">IF(AND(F119=1,A119&gt;=Impostazioni!$B$8),1,0)</f>
        <v>1</v>
      </c>
      <c r="M119" s="77" t="n">
        <f aca="false">IF(C119=0,3,IF(OR(D119=1,E119=1),2,IF(WEEKDAY(A119,2)&gt;5,1,0)))</f>
        <v>0</v>
      </c>
      <c r="N119" s="77" t="str">
        <f aca="false">IF(OR(I119="A",I119="G"),MAX(N$1:N118)+1,"")</f>
        <v/>
      </c>
    </row>
    <row r="120" customFormat="false" ht="15" hidden="false" customHeight="false" outlineLevel="0" collapsed="false">
      <c r="A120" s="75" t="n">
        <f aca="false">A119+1</f>
        <v>46414</v>
      </c>
      <c r="B120" s="76" t="n">
        <f aca="false">DATE(YEAR(A120),MONTH(A120),1)</f>
        <v>46388</v>
      </c>
      <c r="C120" s="77" t="n">
        <f aca="false">IF(AND(A120&gt;=Impostazioni!$B$4,A120&lt;=Impostazioni!$B$5),1,0)</f>
        <v>1</v>
      </c>
      <c r="D120" s="77" t="n">
        <f aca="false">IF(COUNTIF(Impostazioni!$A$27:$A$56,A120)&gt;0,1,0)</f>
        <v>0</v>
      </c>
      <c r="E120" s="77" t="n">
        <f aca="false">IF(COUNTIFS(Impostazioni!$A$16:$A$23,"&lt;="&amp;A120,Impostazioni!$B$16:$B$23,"&gt;="&amp;A120)&gt;0,1,0)</f>
        <v>0</v>
      </c>
      <c r="F120" s="77" t="n">
        <f aca="false">IF(AND(C120=1,D120=0,E120=0),1,0)</f>
        <v>1</v>
      </c>
      <c r="G120" s="77" t="n">
        <f aca="false">(YEAR(A120)-YEAR(Impostazioni!$B$11))*12+MONTH(A120)-MONTH(Impostazioni!$B$11)</f>
        <v>3</v>
      </c>
      <c r="H120" s="77" t="n">
        <f aca="false">INT((DAY(A120)-1+WEEKDAY(DATE(YEAR(A120),MONTH(A120),1),2)-1)/7)</f>
        <v>4</v>
      </c>
      <c r="I120" s="77" t="str">
        <f aca="false">IF(G120&gt;11,"",INDEX(Calendario!$A$14:$G$193,4+15*G120+2*H120,WEEKDAY(A120,2))&amp;"")</f>
        <v/>
      </c>
      <c r="J120" s="77" t="n">
        <f aca="false">IF(AND(F120=1,I120="A"),1,0)</f>
        <v>0</v>
      </c>
      <c r="K120" s="77" t="n">
        <f aca="false">IF(AND(F120=1,I120="G"),1,0)</f>
        <v>0</v>
      </c>
      <c r="L120" s="77" t="n">
        <f aca="false">IF(AND(F120=1,A120&gt;=Impostazioni!$B$8),1,0)</f>
        <v>1</v>
      </c>
      <c r="M120" s="77" t="n">
        <f aca="false">IF(C120=0,3,IF(OR(D120=1,E120=1),2,IF(WEEKDAY(A120,2)&gt;5,1,0)))</f>
        <v>0</v>
      </c>
      <c r="N120" s="77" t="str">
        <f aca="false">IF(OR(I120="A",I120="G"),MAX(N$1:N119)+1,"")</f>
        <v/>
      </c>
    </row>
    <row r="121" customFormat="false" ht="15" hidden="false" customHeight="false" outlineLevel="0" collapsed="false">
      <c r="A121" s="75" t="n">
        <f aca="false">A120+1</f>
        <v>46415</v>
      </c>
      <c r="B121" s="76" t="n">
        <f aca="false">DATE(YEAR(A121),MONTH(A121),1)</f>
        <v>46388</v>
      </c>
      <c r="C121" s="77" t="n">
        <f aca="false">IF(AND(A121&gt;=Impostazioni!$B$4,A121&lt;=Impostazioni!$B$5),1,0)</f>
        <v>1</v>
      </c>
      <c r="D121" s="77" t="n">
        <f aca="false">IF(COUNTIF(Impostazioni!$A$27:$A$56,A121)&gt;0,1,0)</f>
        <v>0</v>
      </c>
      <c r="E121" s="77" t="n">
        <f aca="false">IF(COUNTIFS(Impostazioni!$A$16:$A$23,"&lt;="&amp;A121,Impostazioni!$B$16:$B$23,"&gt;="&amp;A121)&gt;0,1,0)</f>
        <v>0</v>
      </c>
      <c r="F121" s="77" t="n">
        <f aca="false">IF(AND(C121=1,D121=0,E121=0),1,0)</f>
        <v>1</v>
      </c>
      <c r="G121" s="77" t="n">
        <f aca="false">(YEAR(A121)-YEAR(Impostazioni!$B$11))*12+MONTH(A121)-MONTH(Impostazioni!$B$11)</f>
        <v>3</v>
      </c>
      <c r="H121" s="77" t="n">
        <f aca="false">INT((DAY(A121)-1+WEEKDAY(DATE(YEAR(A121),MONTH(A121),1),2)-1)/7)</f>
        <v>4</v>
      </c>
      <c r="I121" s="77" t="str">
        <f aca="false">IF(G121&gt;11,"",INDEX(Calendario!$A$14:$G$193,4+15*G121+2*H121,WEEKDAY(A121,2))&amp;"")</f>
        <v/>
      </c>
      <c r="J121" s="77" t="n">
        <f aca="false">IF(AND(F121=1,I121="A"),1,0)</f>
        <v>0</v>
      </c>
      <c r="K121" s="77" t="n">
        <f aca="false">IF(AND(F121=1,I121="G"),1,0)</f>
        <v>0</v>
      </c>
      <c r="L121" s="77" t="n">
        <f aca="false">IF(AND(F121=1,A121&gt;=Impostazioni!$B$8),1,0)</f>
        <v>1</v>
      </c>
      <c r="M121" s="77" t="n">
        <f aca="false">IF(C121=0,3,IF(OR(D121=1,E121=1),2,IF(WEEKDAY(A121,2)&gt;5,1,0)))</f>
        <v>0</v>
      </c>
      <c r="N121" s="77" t="str">
        <f aca="false">IF(OR(I121="A",I121="G"),MAX(N$1:N120)+1,"")</f>
        <v/>
      </c>
    </row>
    <row r="122" customFormat="false" ht="15" hidden="false" customHeight="false" outlineLevel="0" collapsed="false">
      <c r="A122" s="75" t="n">
        <f aca="false">A121+1</f>
        <v>46416</v>
      </c>
      <c r="B122" s="76" t="n">
        <f aca="false">DATE(YEAR(A122),MONTH(A122),1)</f>
        <v>46388</v>
      </c>
      <c r="C122" s="77" t="n">
        <f aca="false">IF(AND(A122&gt;=Impostazioni!$B$4,A122&lt;=Impostazioni!$B$5),1,0)</f>
        <v>1</v>
      </c>
      <c r="D122" s="77" t="n">
        <f aca="false">IF(COUNTIF(Impostazioni!$A$27:$A$56,A122)&gt;0,1,0)</f>
        <v>0</v>
      </c>
      <c r="E122" s="77" t="n">
        <f aca="false">IF(COUNTIFS(Impostazioni!$A$16:$A$23,"&lt;="&amp;A122,Impostazioni!$B$16:$B$23,"&gt;="&amp;A122)&gt;0,1,0)</f>
        <v>0</v>
      </c>
      <c r="F122" s="77" t="n">
        <f aca="false">IF(AND(C122=1,D122=0,E122=0),1,0)</f>
        <v>1</v>
      </c>
      <c r="G122" s="77" t="n">
        <f aca="false">(YEAR(A122)-YEAR(Impostazioni!$B$11))*12+MONTH(A122)-MONTH(Impostazioni!$B$11)</f>
        <v>3</v>
      </c>
      <c r="H122" s="77" t="n">
        <f aca="false">INT((DAY(A122)-1+WEEKDAY(DATE(YEAR(A122),MONTH(A122),1),2)-1)/7)</f>
        <v>4</v>
      </c>
      <c r="I122" s="77" t="str">
        <f aca="false">IF(G122&gt;11,"",INDEX(Calendario!$A$14:$G$193,4+15*G122+2*H122,WEEKDAY(A122,2))&amp;"")</f>
        <v/>
      </c>
      <c r="J122" s="77" t="n">
        <f aca="false">IF(AND(F122=1,I122="A"),1,0)</f>
        <v>0</v>
      </c>
      <c r="K122" s="77" t="n">
        <f aca="false">IF(AND(F122=1,I122="G"),1,0)</f>
        <v>0</v>
      </c>
      <c r="L122" s="77" t="n">
        <f aca="false">IF(AND(F122=1,A122&gt;=Impostazioni!$B$8),1,0)</f>
        <v>1</v>
      </c>
      <c r="M122" s="77" t="n">
        <f aca="false">IF(C122=0,3,IF(OR(D122=1,E122=1),2,IF(WEEKDAY(A122,2)&gt;5,1,0)))</f>
        <v>0</v>
      </c>
      <c r="N122" s="77" t="str">
        <f aca="false">IF(OR(I122="A",I122="G"),MAX(N$1:N121)+1,"")</f>
        <v/>
      </c>
    </row>
    <row r="123" customFormat="false" ht="15" hidden="false" customHeight="false" outlineLevel="0" collapsed="false">
      <c r="A123" s="75" t="n">
        <f aca="false">A122+1</f>
        <v>46417</v>
      </c>
      <c r="B123" s="76" t="n">
        <f aca="false">DATE(YEAR(A123),MONTH(A123),1)</f>
        <v>46388</v>
      </c>
      <c r="C123" s="77" t="n">
        <f aca="false">IF(AND(A123&gt;=Impostazioni!$B$4,A123&lt;=Impostazioni!$B$5),1,0)</f>
        <v>1</v>
      </c>
      <c r="D123" s="77" t="n">
        <f aca="false">IF(COUNTIF(Impostazioni!$A$27:$A$56,A123)&gt;0,1,0)</f>
        <v>0</v>
      </c>
      <c r="E123" s="77" t="n">
        <f aca="false">IF(COUNTIFS(Impostazioni!$A$16:$A$23,"&lt;="&amp;A123,Impostazioni!$B$16:$B$23,"&gt;="&amp;A123)&gt;0,1,0)</f>
        <v>0</v>
      </c>
      <c r="F123" s="77" t="n">
        <f aca="false">IF(AND(C123=1,D123=0,E123=0),1,0)</f>
        <v>1</v>
      </c>
      <c r="G123" s="77" t="n">
        <f aca="false">(YEAR(A123)-YEAR(Impostazioni!$B$11))*12+MONTH(A123)-MONTH(Impostazioni!$B$11)</f>
        <v>3</v>
      </c>
      <c r="H123" s="77" t="n">
        <f aca="false">INT((DAY(A123)-1+WEEKDAY(DATE(YEAR(A123),MONTH(A123),1),2)-1)/7)</f>
        <v>4</v>
      </c>
      <c r="I123" s="77" t="str">
        <f aca="false">IF(G123&gt;11,"",INDEX(Calendario!$A$14:$G$193,4+15*G123+2*H123,WEEKDAY(A123,2))&amp;"")</f>
        <v/>
      </c>
      <c r="J123" s="77" t="n">
        <f aca="false">IF(AND(F123=1,I123="A"),1,0)</f>
        <v>0</v>
      </c>
      <c r="K123" s="77" t="n">
        <f aca="false">IF(AND(F123=1,I123="G"),1,0)</f>
        <v>0</v>
      </c>
      <c r="L123" s="77" t="n">
        <f aca="false">IF(AND(F123=1,A123&gt;=Impostazioni!$B$8),1,0)</f>
        <v>1</v>
      </c>
      <c r="M123" s="77" t="n">
        <f aca="false">IF(C123=0,3,IF(OR(D123=1,E123=1),2,IF(WEEKDAY(A123,2)&gt;5,1,0)))</f>
        <v>1</v>
      </c>
      <c r="N123" s="77" t="str">
        <f aca="false">IF(OR(I123="A",I123="G"),MAX(N$1:N122)+1,"")</f>
        <v/>
      </c>
    </row>
    <row r="124" customFormat="false" ht="15" hidden="false" customHeight="false" outlineLevel="0" collapsed="false">
      <c r="A124" s="75" t="n">
        <f aca="false">A123+1</f>
        <v>46418</v>
      </c>
      <c r="B124" s="76" t="n">
        <f aca="false">DATE(YEAR(A124),MONTH(A124),1)</f>
        <v>46388</v>
      </c>
      <c r="C124" s="77" t="n">
        <f aca="false">IF(AND(A124&gt;=Impostazioni!$B$4,A124&lt;=Impostazioni!$B$5),1,0)</f>
        <v>1</v>
      </c>
      <c r="D124" s="77" t="n">
        <f aca="false">IF(COUNTIF(Impostazioni!$A$27:$A$56,A124)&gt;0,1,0)</f>
        <v>0</v>
      </c>
      <c r="E124" s="77" t="n">
        <f aca="false">IF(COUNTIFS(Impostazioni!$A$16:$A$23,"&lt;="&amp;A124,Impostazioni!$B$16:$B$23,"&gt;="&amp;A124)&gt;0,1,0)</f>
        <v>0</v>
      </c>
      <c r="F124" s="77" t="n">
        <f aca="false">IF(AND(C124=1,D124=0,E124=0),1,0)</f>
        <v>1</v>
      </c>
      <c r="G124" s="77" t="n">
        <f aca="false">(YEAR(A124)-YEAR(Impostazioni!$B$11))*12+MONTH(A124)-MONTH(Impostazioni!$B$11)</f>
        <v>3</v>
      </c>
      <c r="H124" s="77" t="n">
        <f aca="false">INT((DAY(A124)-1+WEEKDAY(DATE(YEAR(A124),MONTH(A124),1),2)-1)/7)</f>
        <v>4</v>
      </c>
      <c r="I124" s="77" t="str">
        <f aca="false">IF(G124&gt;11,"",INDEX(Calendario!$A$14:$G$193,4+15*G124+2*H124,WEEKDAY(A124,2))&amp;"")</f>
        <v/>
      </c>
      <c r="J124" s="77" t="n">
        <f aca="false">IF(AND(F124=1,I124="A"),1,0)</f>
        <v>0</v>
      </c>
      <c r="K124" s="77" t="n">
        <f aca="false">IF(AND(F124=1,I124="G"),1,0)</f>
        <v>0</v>
      </c>
      <c r="L124" s="77" t="n">
        <f aca="false">IF(AND(F124=1,A124&gt;=Impostazioni!$B$8),1,0)</f>
        <v>1</v>
      </c>
      <c r="M124" s="77" t="n">
        <f aca="false">IF(C124=0,3,IF(OR(D124=1,E124=1),2,IF(WEEKDAY(A124,2)&gt;5,1,0)))</f>
        <v>1</v>
      </c>
      <c r="N124" s="77" t="str">
        <f aca="false">IF(OR(I124="A",I124="G"),MAX(N$1:N123)+1,"")</f>
        <v/>
      </c>
    </row>
    <row r="125" customFormat="false" ht="15" hidden="false" customHeight="false" outlineLevel="0" collapsed="false">
      <c r="A125" s="75" t="n">
        <f aca="false">A124+1</f>
        <v>46419</v>
      </c>
      <c r="B125" s="76" t="n">
        <f aca="false">DATE(YEAR(A125),MONTH(A125),1)</f>
        <v>46419</v>
      </c>
      <c r="C125" s="77" t="n">
        <f aca="false">IF(AND(A125&gt;=Impostazioni!$B$4,A125&lt;=Impostazioni!$B$5),1,0)</f>
        <v>1</v>
      </c>
      <c r="D125" s="77" t="n">
        <f aca="false">IF(COUNTIF(Impostazioni!$A$27:$A$56,A125)&gt;0,1,0)</f>
        <v>0</v>
      </c>
      <c r="E125" s="77" t="n">
        <f aca="false">IF(COUNTIFS(Impostazioni!$A$16:$A$23,"&lt;="&amp;A125,Impostazioni!$B$16:$B$23,"&gt;="&amp;A125)&gt;0,1,0)</f>
        <v>0</v>
      </c>
      <c r="F125" s="77" t="n">
        <f aca="false">IF(AND(C125=1,D125=0,E125=0),1,0)</f>
        <v>1</v>
      </c>
      <c r="G125" s="77" t="n">
        <f aca="false">(YEAR(A125)-YEAR(Impostazioni!$B$11))*12+MONTH(A125)-MONTH(Impostazioni!$B$11)</f>
        <v>4</v>
      </c>
      <c r="H125" s="77" t="n">
        <f aca="false">INT((DAY(A125)-1+WEEKDAY(DATE(YEAR(A125),MONTH(A125),1),2)-1)/7)</f>
        <v>0</v>
      </c>
      <c r="I125" s="77" t="str">
        <f aca="false">IF(G125&gt;11,"",INDEX(Calendario!$A$14:$G$193,4+15*G125+2*H125,WEEKDAY(A125,2))&amp;"")</f>
        <v/>
      </c>
      <c r="J125" s="77" t="n">
        <f aca="false">IF(AND(F125=1,I125="A"),1,0)</f>
        <v>0</v>
      </c>
      <c r="K125" s="77" t="n">
        <f aca="false">IF(AND(F125=1,I125="G"),1,0)</f>
        <v>0</v>
      </c>
      <c r="L125" s="77" t="n">
        <f aca="false">IF(AND(F125=1,A125&gt;=Impostazioni!$B$8),1,0)</f>
        <v>1</v>
      </c>
      <c r="M125" s="77" t="n">
        <f aca="false">IF(C125=0,3,IF(OR(D125=1,E125=1),2,IF(WEEKDAY(A125,2)&gt;5,1,0)))</f>
        <v>0</v>
      </c>
      <c r="N125" s="77" t="str">
        <f aca="false">IF(OR(I125="A",I125="G"),MAX(N$1:N124)+1,"")</f>
        <v/>
      </c>
    </row>
    <row r="126" customFormat="false" ht="15" hidden="false" customHeight="false" outlineLevel="0" collapsed="false">
      <c r="A126" s="75" t="n">
        <f aca="false">A125+1</f>
        <v>46420</v>
      </c>
      <c r="B126" s="76" t="n">
        <f aca="false">DATE(YEAR(A126),MONTH(A126),1)</f>
        <v>46419</v>
      </c>
      <c r="C126" s="77" t="n">
        <f aca="false">IF(AND(A126&gt;=Impostazioni!$B$4,A126&lt;=Impostazioni!$B$5),1,0)</f>
        <v>1</v>
      </c>
      <c r="D126" s="77" t="n">
        <f aca="false">IF(COUNTIF(Impostazioni!$A$27:$A$56,A126)&gt;0,1,0)</f>
        <v>0</v>
      </c>
      <c r="E126" s="77" t="n">
        <f aca="false">IF(COUNTIFS(Impostazioni!$A$16:$A$23,"&lt;="&amp;A126,Impostazioni!$B$16:$B$23,"&gt;="&amp;A126)&gt;0,1,0)</f>
        <v>0</v>
      </c>
      <c r="F126" s="77" t="n">
        <f aca="false">IF(AND(C126=1,D126=0,E126=0),1,0)</f>
        <v>1</v>
      </c>
      <c r="G126" s="77" t="n">
        <f aca="false">(YEAR(A126)-YEAR(Impostazioni!$B$11))*12+MONTH(A126)-MONTH(Impostazioni!$B$11)</f>
        <v>4</v>
      </c>
      <c r="H126" s="77" t="n">
        <f aca="false">INT((DAY(A126)-1+WEEKDAY(DATE(YEAR(A126),MONTH(A126),1),2)-1)/7)</f>
        <v>0</v>
      </c>
      <c r="I126" s="77" t="str">
        <f aca="false">IF(G126&gt;11,"",INDEX(Calendario!$A$14:$G$193,4+15*G126+2*H126,WEEKDAY(A126,2))&amp;"")</f>
        <v/>
      </c>
      <c r="J126" s="77" t="n">
        <f aca="false">IF(AND(F126=1,I126="A"),1,0)</f>
        <v>0</v>
      </c>
      <c r="K126" s="77" t="n">
        <f aca="false">IF(AND(F126=1,I126="G"),1,0)</f>
        <v>0</v>
      </c>
      <c r="L126" s="77" t="n">
        <f aca="false">IF(AND(F126=1,A126&gt;=Impostazioni!$B$8),1,0)</f>
        <v>1</v>
      </c>
      <c r="M126" s="77" t="n">
        <f aca="false">IF(C126=0,3,IF(OR(D126=1,E126=1),2,IF(WEEKDAY(A126,2)&gt;5,1,0)))</f>
        <v>0</v>
      </c>
      <c r="N126" s="77" t="str">
        <f aca="false">IF(OR(I126="A",I126="G"),MAX(N$1:N125)+1,"")</f>
        <v/>
      </c>
    </row>
    <row r="127" customFormat="false" ht="15" hidden="false" customHeight="false" outlineLevel="0" collapsed="false">
      <c r="A127" s="75" t="n">
        <f aca="false">A126+1</f>
        <v>46421</v>
      </c>
      <c r="B127" s="76" t="n">
        <f aca="false">DATE(YEAR(A127),MONTH(A127),1)</f>
        <v>46419</v>
      </c>
      <c r="C127" s="77" t="n">
        <f aca="false">IF(AND(A127&gt;=Impostazioni!$B$4,A127&lt;=Impostazioni!$B$5),1,0)</f>
        <v>1</v>
      </c>
      <c r="D127" s="77" t="n">
        <f aca="false">IF(COUNTIF(Impostazioni!$A$27:$A$56,A127)&gt;0,1,0)</f>
        <v>0</v>
      </c>
      <c r="E127" s="77" t="n">
        <f aca="false">IF(COUNTIFS(Impostazioni!$A$16:$A$23,"&lt;="&amp;A127,Impostazioni!$B$16:$B$23,"&gt;="&amp;A127)&gt;0,1,0)</f>
        <v>0</v>
      </c>
      <c r="F127" s="77" t="n">
        <f aca="false">IF(AND(C127=1,D127=0,E127=0),1,0)</f>
        <v>1</v>
      </c>
      <c r="G127" s="77" t="n">
        <f aca="false">(YEAR(A127)-YEAR(Impostazioni!$B$11))*12+MONTH(A127)-MONTH(Impostazioni!$B$11)</f>
        <v>4</v>
      </c>
      <c r="H127" s="77" t="n">
        <f aca="false">INT((DAY(A127)-1+WEEKDAY(DATE(YEAR(A127),MONTH(A127),1),2)-1)/7)</f>
        <v>0</v>
      </c>
      <c r="I127" s="77" t="str">
        <f aca="false">IF(G127&gt;11,"",INDEX(Calendario!$A$14:$G$193,4+15*G127+2*H127,WEEKDAY(A127,2))&amp;"")</f>
        <v/>
      </c>
      <c r="J127" s="77" t="n">
        <f aca="false">IF(AND(F127=1,I127="A"),1,0)</f>
        <v>0</v>
      </c>
      <c r="K127" s="77" t="n">
        <f aca="false">IF(AND(F127=1,I127="G"),1,0)</f>
        <v>0</v>
      </c>
      <c r="L127" s="77" t="n">
        <f aca="false">IF(AND(F127=1,A127&gt;=Impostazioni!$B$8),1,0)</f>
        <v>1</v>
      </c>
      <c r="M127" s="77" t="n">
        <f aca="false">IF(C127=0,3,IF(OR(D127=1,E127=1),2,IF(WEEKDAY(A127,2)&gt;5,1,0)))</f>
        <v>0</v>
      </c>
      <c r="N127" s="77" t="str">
        <f aca="false">IF(OR(I127="A",I127="G"),MAX(N$1:N126)+1,"")</f>
        <v/>
      </c>
    </row>
    <row r="128" customFormat="false" ht="15" hidden="false" customHeight="false" outlineLevel="0" collapsed="false">
      <c r="A128" s="75" t="n">
        <f aca="false">A127+1</f>
        <v>46422</v>
      </c>
      <c r="B128" s="76" t="n">
        <f aca="false">DATE(YEAR(A128),MONTH(A128),1)</f>
        <v>46419</v>
      </c>
      <c r="C128" s="77" t="n">
        <f aca="false">IF(AND(A128&gt;=Impostazioni!$B$4,A128&lt;=Impostazioni!$B$5),1,0)</f>
        <v>1</v>
      </c>
      <c r="D128" s="77" t="n">
        <f aca="false">IF(COUNTIF(Impostazioni!$A$27:$A$56,A128)&gt;0,1,0)</f>
        <v>0</v>
      </c>
      <c r="E128" s="77" t="n">
        <f aca="false">IF(COUNTIFS(Impostazioni!$A$16:$A$23,"&lt;="&amp;A128,Impostazioni!$B$16:$B$23,"&gt;="&amp;A128)&gt;0,1,0)</f>
        <v>0</v>
      </c>
      <c r="F128" s="77" t="n">
        <f aca="false">IF(AND(C128=1,D128=0,E128=0),1,0)</f>
        <v>1</v>
      </c>
      <c r="G128" s="77" t="n">
        <f aca="false">(YEAR(A128)-YEAR(Impostazioni!$B$11))*12+MONTH(A128)-MONTH(Impostazioni!$B$11)</f>
        <v>4</v>
      </c>
      <c r="H128" s="77" t="n">
        <f aca="false">INT((DAY(A128)-1+WEEKDAY(DATE(YEAR(A128),MONTH(A128),1),2)-1)/7)</f>
        <v>0</v>
      </c>
      <c r="I128" s="77" t="str">
        <f aca="false">IF(G128&gt;11,"",INDEX(Calendario!$A$14:$G$193,4+15*G128+2*H128,WEEKDAY(A128,2))&amp;"")</f>
        <v/>
      </c>
      <c r="J128" s="77" t="n">
        <f aca="false">IF(AND(F128=1,I128="A"),1,0)</f>
        <v>0</v>
      </c>
      <c r="K128" s="77" t="n">
        <f aca="false">IF(AND(F128=1,I128="G"),1,0)</f>
        <v>0</v>
      </c>
      <c r="L128" s="77" t="n">
        <f aca="false">IF(AND(F128=1,A128&gt;=Impostazioni!$B$8),1,0)</f>
        <v>1</v>
      </c>
      <c r="M128" s="77" t="n">
        <f aca="false">IF(C128=0,3,IF(OR(D128=1,E128=1),2,IF(WEEKDAY(A128,2)&gt;5,1,0)))</f>
        <v>0</v>
      </c>
      <c r="N128" s="77" t="str">
        <f aca="false">IF(OR(I128="A",I128="G"),MAX(N$1:N127)+1,"")</f>
        <v/>
      </c>
    </row>
    <row r="129" customFormat="false" ht="15" hidden="false" customHeight="false" outlineLevel="0" collapsed="false">
      <c r="A129" s="75" t="n">
        <f aca="false">A128+1</f>
        <v>46423</v>
      </c>
      <c r="B129" s="76" t="n">
        <f aca="false">DATE(YEAR(A129),MONTH(A129),1)</f>
        <v>46419</v>
      </c>
      <c r="C129" s="77" t="n">
        <f aca="false">IF(AND(A129&gt;=Impostazioni!$B$4,A129&lt;=Impostazioni!$B$5),1,0)</f>
        <v>1</v>
      </c>
      <c r="D129" s="77" t="n">
        <f aca="false">IF(COUNTIF(Impostazioni!$A$27:$A$56,A129)&gt;0,1,0)</f>
        <v>0</v>
      </c>
      <c r="E129" s="77" t="n">
        <f aca="false">IF(COUNTIFS(Impostazioni!$A$16:$A$23,"&lt;="&amp;A129,Impostazioni!$B$16:$B$23,"&gt;="&amp;A129)&gt;0,1,0)</f>
        <v>0</v>
      </c>
      <c r="F129" s="77" t="n">
        <f aca="false">IF(AND(C129=1,D129=0,E129=0),1,0)</f>
        <v>1</v>
      </c>
      <c r="G129" s="77" t="n">
        <f aca="false">(YEAR(A129)-YEAR(Impostazioni!$B$11))*12+MONTH(A129)-MONTH(Impostazioni!$B$11)</f>
        <v>4</v>
      </c>
      <c r="H129" s="77" t="n">
        <f aca="false">INT((DAY(A129)-1+WEEKDAY(DATE(YEAR(A129),MONTH(A129),1),2)-1)/7)</f>
        <v>0</v>
      </c>
      <c r="I129" s="77" t="str">
        <f aca="false">IF(G129&gt;11,"",INDEX(Calendario!$A$14:$G$193,4+15*G129+2*H129,WEEKDAY(A129,2))&amp;"")</f>
        <v/>
      </c>
      <c r="J129" s="77" t="n">
        <f aca="false">IF(AND(F129=1,I129="A"),1,0)</f>
        <v>0</v>
      </c>
      <c r="K129" s="77" t="n">
        <f aca="false">IF(AND(F129=1,I129="G"),1,0)</f>
        <v>0</v>
      </c>
      <c r="L129" s="77" t="n">
        <f aca="false">IF(AND(F129=1,A129&gt;=Impostazioni!$B$8),1,0)</f>
        <v>1</v>
      </c>
      <c r="M129" s="77" t="n">
        <f aca="false">IF(C129=0,3,IF(OR(D129=1,E129=1),2,IF(WEEKDAY(A129,2)&gt;5,1,0)))</f>
        <v>0</v>
      </c>
      <c r="N129" s="77" t="str">
        <f aca="false">IF(OR(I129="A",I129="G"),MAX(N$1:N128)+1,"")</f>
        <v/>
      </c>
    </row>
    <row r="130" customFormat="false" ht="15" hidden="false" customHeight="false" outlineLevel="0" collapsed="false">
      <c r="A130" s="75" t="n">
        <f aca="false">A129+1</f>
        <v>46424</v>
      </c>
      <c r="B130" s="76" t="n">
        <f aca="false">DATE(YEAR(A130),MONTH(A130),1)</f>
        <v>46419</v>
      </c>
      <c r="C130" s="77" t="n">
        <f aca="false">IF(AND(A130&gt;=Impostazioni!$B$4,A130&lt;=Impostazioni!$B$5),1,0)</f>
        <v>1</v>
      </c>
      <c r="D130" s="77" t="n">
        <f aca="false">IF(COUNTIF(Impostazioni!$A$27:$A$56,A130)&gt;0,1,0)</f>
        <v>0</v>
      </c>
      <c r="E130" s="77" t="n">
        <f aca="false">IF(COUNTIFS(Impostazioni!$A$16:$A$23,"&lt;="&amp;A130,Impostazioni!$B$16:$B$23,"&gt;="&amp;A130)&gt;0,1,0)</f>
        <v>0</v>
      </c>
      <c r="F130" s="77" t="n">
        <f aca="false">IF(AND(C130=1,D130=0,E130=0),1,0)</f>
        <v>1</v>
      </c>
      <c r="G130" s="77" t="n">
        <f aca="false">(YEAR(A130)-YEAR(Impostazioni!$B$11))*12+MONTH(A130)-MONTH(Impostazioni!$B$11)</f>
        <v>4</v>
      </c>
      <c r="H130" s="77" t="n">
        <f aca="false">INT((DAY(A130)-1+WEEKDAY(DATE(YEAR(A130),MONTH(A130),1),2)-1)/7)</f>
        <v>0</v>
      </c>
      <c r="I130" s="77" t="str">
        <f aca="false">IF(G130&gt;11,"",INDEX(Calendario!$A$14:$G$193,4+15*G130+2*H130,WEEKDAY(A130,2))&amp;"")</f>
        <v/>
      </c>
      <c r="J130" s="77" t="n">
        <f aca="false">IF(AND(F130=1,I130="A"),1,0)</f>
        <v>0</v>
      </c>
      <c r="K130" s="77" t="n">
        <f aca="false">IF(AND(F130=1,I130="G"),1,0)</f>
        <v>0</v>
      </c>
      <c r="L130" s="77" t="n">
        <f aca="false">IF(AND(F130=1,A130&gt;=Impostazioni!$B$8),1,0)</f>
        <v>1</v>
      </c>
      <c r="M130" s="77" t="n">
        <f aca="false">IF(C130=0,3,IF(OR(D130=1,E130=1),2,IF(WEEKDAY(A130,2)&gt;5,1,0)))</f>
        <v>1</v>
      </c>
      <c r="N130" s="77" t="str">
        <f aca="false">IF(OR(I130="A",I130="G"),MAX(N$1:N129)+1,"")</f>
        <v/>
      </c>
    </row>
    <row r="131" customFormat="false" ht="15" hidden="false" customHeight="false" outlineLevel="0" collapsed="false">
      <c r="A131" s="75" t="n">
        <f aca="false">A130+1</f>
        <v>46425</v>
      </c>
      <c r="B131" s="76" t="n">
        <f aca="false">DATE(YEAR(A131),MONTH(A131),1)</f>
        <v>46419</v>
      </c>
      <c r="C131" s="77" t="n">
        <f aca="false">IF(AND(A131&gt;=Impostazioni!$B$4,A131&lt;=Impostazioni!$B$5),1,0)</f>
        <v>1</v>
      </c>
      <c r="D131" s="77" t="n">
        <f aca="false">IF(COUNTIF(Impostazioni!$A$27:$A$56,A131)&gt;0,1,0)</f>
        <v>0</v>
      </c>
      <c r="E131" s="77" t="n">
        <f aca="false">IF(COUNTIFS(Impostazioni!$A$16:$A$23,"&lt;="&amp;A131,Impostazioni!$B$16:$B$23,"&gt;="&amp;A131)&gt;0,1,0)</f>
        <v>0</v>
      </c>
      <c r="F131" s="77" t="n">
        <f aca="false">IF(AND(C131=1,D131=0,E131=0),1,0)</f>
        <v>1</v>
      </c>
      <c r="G131" s="77" t="n">
        <f aca="false">(YEAR(A131)-YEAR(Impostazioni!$B$11))*12+MONTH(A131)-MONTH(Impostazioni!$B$11)</f>
        <v>4</v>
      </c>
      <c r="H131" s="77" t="n">
        <f aca="false">INT((DAY(A131)-1+WEEKDAY(DATE(YEAR(A131),MONTH(A131),1),2)-1)/7)</f>
        <v>0</v>
      </c>
      <c r="I131" s="77" t="str">
        <f aca="false">IF(G131&gt;11,"",INDEX(Calendario!$A$14:$G$193,4+15*G131+2*H131,WEEKDAY(A131,2))&amp;"")</f>
        <v/>
      </c>
      <c r="J131" s="77" t="n">
        <f aca="false">IF(AND(F131=1,I131="A"),1,0)</f>
        <v>0</v>
      </c>
      <c r="K131" s="77" t="n">
        <f aca="false">IF(AND(F131=1,I131="G"),1,0)</f>
        <v>0</v>
      </c>
      <c r="L131" s="77" t="n">
        <f aca="false">IF(AND(F131=1,A131&gt;=Impostazioni!$B$8),1,0)</f>
        <v>1</v>
      </c>
      <c r="M131" s="77" t="n">
        <f aca="false">IF(C131=0,3,IF(OR(D131=1,E131=1),2,IF(WEEKDAY(A131,2)&gt;5,1,0)))</f>
        <v>1</v>
      </c>
      <c r="N131" s="77" t="str">
        <f aca="false">IF(OR(I131="A",I131="G"),MAX(N$1:N130)+1,"")</f>
        <v/>
      </c>
    </row>
    <row r="132" customFormat="false" ht="15" hidden="false" customHeight="false" outlineLevel="0" collapsed="false">
      <c r="A132" s="75" t="n">
        <f aca="false">A131+1</f>
        <v>46426</v>
      </c>
      <c r="B132" s="76" t="n">
        <f aca="false">DATE(YEAR(A132),MONTH(A132),1)</f>
        <v>46419</v>
      </c>
      <c r="C132" s="77" t="n">
        <f aca="false">IF(AND(A132&gt;=Impostazioni!$B$4,A132&lt;=Impostazioni!$B$5),1,0)</f>
        <v>1</v>
      </c>
      <c r="D132" s="77" t="n">
        <f aca="false">IF(COUNTIF(Impostazioni!$A$27:$A$56,A132)&gt;0,1,0)</f>
        <v>0</v>
      </c>
      <c r="E132" s="77" t="n">
        <f aca="false">IF(COUNTIFS(Impostazioni!$A$16:$A$23,"&lt;="&amp;A132,Impostazioni!$B$16:$B$23,"&gt;="&amp;A132)&gt;0,1,0)</f>
        <v>0</v>
      </c>
      <c r="F132" s="77" t="n">
        <f aca="false">IF(AND(C132=1,D132=0,E132=0),1,0)</f>
        <v>1</v>
      </c>
      <c r="G132" s="77" t="n">
        <f aca="false">(YEAR(A132)-YEAR(Impostazioni!$B$11))*12+MONTH(A132)-MONTH(Impostazioni!$B$11)</f>
        <v>4</v>
      </c>
      <c r="H132" s="77" t="n">
        <f aca="false">INT((DAY(A132)-1+WEEKDAY(DATE(YEAR(A132),MONTH(A132),1),2)-1)/7)</f>
        <v>1</v>
      </c>
      <c r="I132" s="77" t="str">
        <f aca="false">IF(G132&gt;11,"",INDEX(Calendario!$A$14:$G$193,4+15*G132+2*H132,WEEKDAY(A132,2))&amp;"")</f>
        <v/>
      </c>
      <c r="J132" s="77" t="n">
        <f aca="false">IF(AND(F132=1,I132="A"),1,0)</f>
        <v>0</v>
      </c>
      <c r="K132" s="77" t="n">
        <f aca="false">IF(AND(F132=1,I132="G"),1,0)</f>
        <v>0</v>
      </c>
      <c r="L132" s="77" t="n">
        <f aca="false">IF(AND(F132=1,A132&gt;=Impostazioni!$B$8),1,0)</f>
        <v>1</v>
      </c>
      <c r="M132" s="77" t="n">
        <f aca="false">IF(C132=0,3,IF(OR(D132=1,E132=1),2,IF(WEEKDAY(A132,2)&gt;5,1,0)))</f>
        <v>0</v>
      </c>
      <c r="N132" s="77" t="str">
        <f aca="false">IF(OR(I132="A",I132="G"),MAX(N$1:N131)+1,"")</f>
        <v/>
      </c>
    </row>
    <row r="133" customFormat="false" ht="15" hidden="false" customHeight="false" outlineLevel="0" collapsed="false">
      <c r="A133" s="75" t="n">
        <f aca="false">A132+1</f>
        <v>46427</v>
      </c>
      <c r="B133" s="76" t="n">
        <f aca="false">DATE(YEAR(A133),MONTH(A133),1)</f>
        <v>46419</v>
      </c>
      <c r="C133" s="77" t="n">
        <f aca="false">IF(AND(A133&gt;=Impostazioni!$B$4,A133&lt;=Impostazioni!$B$5),1,0)</f>
        <v>1</v>
      </c>
      <c r="D133" s="77" t="n">
        <f aca="false">IF(COUNTIF(Impostazioni!$A$27:$A$56,A133)&gt;0,1,0)</f>
        <v>0</v>
      </c>
      <c r="E133" s="77" t="n">
        <f aca="false">IF(COUNTIFS(Impostazioni!$A$16:$A$23,"&lt;="&amp;A133,Impostazioni!$B$16:$B$23,"&gt;="&amp;A133)&gt;0,1,0)</f>
        <v>0</v>
      </c>
      <c r="F133" s="77" t="n">
        <f aca="false">IF(AND(C133=1,D133=0,E133=0),1,0)</f>
        <v>1</v>
      </c>
      <c r="G133" s="77" t="n">
        <f aca="false">(YEAR(A133)-YEAR(Impostazioni!$B$11))*12+MONTH(A133)-MONTH(Impostazioni!$B$11)</f>
        <v>4</v>
      </c>
      <c r="H133" s="77" t="n">
        <f aca="false">INT((DAY(A133)-1+WEEKDAY(DATE(YEAR(A133),MONTH(A133),1),2)-1)/7)</f>
        <v>1</v>
      </c>
      <c r="I133" s="77" t="str">
        <f aca="false">IF(G133&gt;11,"",INDEX(Calendario!$A$14:$G$193,4+15*G133+2*H133,WEEKDAY(A133,2))&amp;"")</f>
        <v/>
      </c>
      <c r="J133" s="77" t="n">
        <f aca="false">IF(AND(F133=1,I133="A"),1,0)</f>
        <v>0</v>
      </c>
      <c r="K133" s="77" t="n">
        <f aca="false">IF(AND(F133=1,I133="G"),1,0)</f>
        <v>0</v>
      </c>
      <c r="L133" s="77" t="n">
        <f aca="false">IF(AND(F133=1,A133&gt;=Impostazioni!$B$8),1,0)</f>
        <v>1</v>
      </c>
      <c r="M133" s="77" t="n">
        <f aca="false">IF(C133=0,3,IF(OR(D133=1,E133=1),2,IF(WEEKDAY(A133,2)&gt;5,1,0)))</f>
        <v>0</v>
      </c>
      <c r="N133" s="77" t="str">
        <f aca="false">IF(OR(I133="A",I133="G"),MAX(N$1:N132)+1,"")</f>
        <v/>
      </c>
    </row>
    <row r="134" customFormat="false" ht="15" hidden="false" customHeight="false" outlineLevel="0" collapsed="false">
      <c r="A134" s="75" t="n">
        <f aca="false">A133+1</f>
        <v>46428</v>
      </c>
      <c r="B134" s="76" t="n">
        <f aca="false">DATE(YEAR(A134),MONTH(A134),1)</f>
        <v>46419</v>
      </c>
      <c r="C134" s="77" t="n">
        <f aca="false">IF(AND(A134&gt;=Impostazioni!$B$4,A134&lt;=Impostazioni!$B$5),1,0)</f>
        <v>1</v>
      </c>
      <c r="D134" s="77" t="n">
        <f aca="false">IF(COUNTIF(Impostazioni!$A$27:$A$56,A134)&gt;0,1,0)</f>
        <v>0</v>
      </c>
      <c r="E134" s="77" t="n">
        <f aca="false">IF(COUNTIFS(Impostazioni!$A$16:$A$23,"&lt;="&amp;A134,Impostazioni!$B$16:$B$23,"&gt;="&amp;A134)&gt;0,1,0)</f>
        <v>0</v>
      </c>
      <c r="F134" s="77" t="n">
        <f aca="false">IF(AND(C134=1,D134=0,E134=0),1,0)</f>
        <v>1</v>
      </c>
      <c r="G134" s="77" t="n">
        <f aca="false">(YEAR(A134)-YEAR(Impostazioni!$B$11))*12+MONTH(A134)-MONTH(Impostazioni!$B$11)</f>
        <v>4</v>
      </c>
      <c r="H134" s="77" t="n">
        <f aca="false">INT((DAY(A134)-1+WEEKDAY(DATE(YEAR(A134),MONTH(A134),1),2)-1)/7)</f>
        <v>1</v>
      </c>
      <c r="I134" s="77" t="str">
        <f aca="false">IF(G134&gt;11,"",INDEX(Calendario!$A$14:$G$193,4+15*G134+2*H134,WEEKDAY(A134,2))&amp;"")</f>
        <v/>
      </c>
      <c r="J134" s="77" t="n">
        <f aca="false">IF(AND(F134=1,I134="A"),1,0)</f>
        <v>0</v>
      </c>
      <c r="K134" s="77" t="n">
        <f aca="false">IF(AND(F134=1,I134="G"),1,0)</f>
        <v>0</v>
      </c>
      <c r="L134" s="77" t="n">
        <f aca="false">IF(AND(F134=1,A134&gt;=Impostazioni!$B$8),1,0)</f>
        <v>1</v>
      </c>
      <c r="M134" s="77" t="n">
        <f aca="false">IF(C134=0,3,IF(OR(D134=1,E134=1),2,IF(WEEKDAY(A134,2)&gt;5,1,0)))</f>
        <v>0</v>
      </c>
      <c r="N134" s="77" t="str">
        <f aca="false">IF(OR(I134="A",I134="G"),MAX(N$1:N133)+1,"")</f>
        <v/>
      </c>
    </row>
    <row r="135" customFormat="false" ht="15" hidden="false" customHeight="false" outlineLevel="0" collapsed="false">
      <c r="A135" s="75" t="n">
        <f aca="false">A134+1</f>
        <v>46429</v>
      </c>
      <c r="B135" s="76" t="n">
        <f aca="false">DATE(YEAR(A135),MONTH(A135),1)</f>
        <v>46419</v>
      </c>
      <c r="C135" s="77" t="n">
        <f aca="false">IF(AND(A135&gt;=Impostazioni!$B$4,A135&lt;=Impostazioni!$B$5),1,0)</f>
        <v>1</v>
      </c>
      <c r="D135" s="77" t="n">
        <f aca="false">IF(COUNTIF(Impostazioni!$A$27:$A$56,A135)&gt;0,1,0)</f>
        <v>0</v>
      </c>
      <c r="E135" s="77" t="n">
        <f aca="false">IF(COUNTIFS(Impostazioni!$A$16:$A$23,"&lt;="&amp;A135,Impostazioni!$B$16:$B$23,"&gt;="&amp;A135)&gt;0,1,0)</f>
        <v>0</v>
      </c>
      <c r="F135" s="77" t="n">
        <f aca="false">IF(AND(C135=1,D135=0,E135=0),1,0)</f>
        <v>1</v>
      </c>
      <c r="G135" s="77" t="n">
        <f aca="false">(YEAR(A135)-YEAR(Impostazioni!$B$11))*12+MONTH(A135)-MONTH(Impostazioni!$B$11)</f>
        <v>4</v>
      </c>
      <c r="H135" s="77" t="n">
        <f aca="false">INT((DAY(A135)-1+WEEKDAY(DATE(YEAR(A135),MONTH(A135),1),2)-1)/7)</f>
        <v>1</v>
      </c>
      <c r="I135" s="77" t="str">
        <f aca="false">IF(G135&gt;11,"",INDEX(Calendario!$A$14:$G$193,4+15*G135+2*H135,WEEKDAY(A135,2))&amp;"")</f>
        <v/>
      </c>
      <c r="J135" s="77" t="n">
        <f aca="false">IF(AND(F135=1,I135="A"),1,0)</f>
        <v>0</v>
      </c>
      <c r="K135" s="77" t="n">
        <f aca="false">IF(AND(F135=1,I135="G"),1,0)</f>
        <v>0</v>
      </c>
      <c r="L135" s="77" t="n">
        <f aca="false">IF(AND(F135=1,A135&gt;=Impostazioni!$B$8),1,0)</f>
        <v>1</v>
      </c>
      <c r="M135" s="77" t="n">
        <f aca="false">IF(C135=0,3,IF(OR(D135=1,E135=1),2,IF(WEEKDAY(A135,2)&gt;5,1,0)))</f>
        <v>0</v>
      </c>
      <c r="N135" s="77" t="str">
        <f aca="false">IF(OR(I135="A",I135="G"),MAX(N$1:N134)+1,"")</f>
        <v/>
      </c>
    </row>
    <row r="136" customFormat="false" ht="15" hidden="false" customHeight="false" outlineLevel="0" collapsed="false">
      <c r="A136" s="75" t="n">
        <f aca="false">A135+1</f>
        <v>46430</v>
      </c>
      <c r="B136" s="76" t="n">
        <f aca="false">DATE(YEAR(A136),MONTH(A136),1)</f>
        <v>46419</v>
      </c>
      <c r="C136" s="77" t="n">
        <f aca="false">IF(AND(A136&gt;=Impostazioni!$B$4,A136&lt;=Impostazioni!$B$5),1,0)</f>
        <v>1</v>
      </c>
      <c r="D136" s="77" t="n">
        <f aca="false">IF(COUNTIF(Impostazioni!$A$27:$A$56,A136)&gt;0,1,0)</f>
        <v>0</v>
      </c>
      <c r="E136" s="77" t="n">
        <f aca="false">IF(COUNTIFS(Impostazioni!$A$16:$A$23,"&lt;="&amp;A136,Impostazioni!$B$16:$B$23,"&gt;="&amp;A136)&gt;0,1,0)</f>
        <v>0</v>
      </c>
      <c r="F136" s="77" t="n">
        <f aca="false">IF(AND(C136=1,D136=0,E136=0),1,0)</f>
        <v>1</v>
      </c>
      <c r="G136" s="77" t="n">
        <f aca="false">(YEAR(A136)-YEAR(Impostazioni!$B$11))*12+MONTH(A136)-MONTH(Impostazioni!$B$11)</f>
        <v>4</v>
      </c>
      <c r="H136" s="77" t="n">
        <f aca="false">INT((DAY(A136)-1+WEEKDAY(DATE(YEAR(A136),MONTH(A136),1),2)-1)/7)</f>
        <v>1</v>
      </c>
      <c r="I136" s="77" t="str">
        <f aca="false">IF(G136&gt;11,"",INDEX(Calendario!$A$14:$G$193,4+15*G136+2*H136,WEEKDAY(A136,2))&amp;"")</f>
        <v/>
      </c>
      <c r="J136" s="77" t="n">
        <f aca="false">IF(AND(F136=1,I136="A"),1,0)</f>
        <v>0</v>
      </c>
      <c r="K136" s="77" t="n">
        <f aca="false">IF(AND(F136=1,I136="G"),1,0)</f>
        <v>0</v>
      </c>
      <c r="L136" s="77" t="n">
        <f aca="false">IF(AND(F136=1,A136&gt;=Impostazioni!$B$8),1,0)</f>
        <v>1</v>
      </c>
      <c r="M136" s="77" t="n">
        <f aca="false">IF(C136=0,3,IF(OR(D136=1,E136=1),2,IF(WEEKDAY(A136,2)&gt;5,1,0)))</f>
        <v>0</v>
      </c>
      <c r="N136" s="77" t="str">
        <f aca="false">IF(OR(I136="A",I136="G"),MAX(N$1:N135)+1,"")</f>
        <v/>
      </c>
    </row>
    <row r="137" customFormat="false" ht="15" hidden="false" customHeight="false" outlineLevel="0" collapsed="false">
      <c r="A137" s="75" t="n">
        <f aca="false">A136+1</f>
        <v>46431</v>
      </c>
      <c r="B137" s="76" t="n">
        <f aca="false">DATE(YEAR(A137),MONTH(A137),1)</f>
        <v>46419</v>
      </c>
      <c r="C137" s="77" t="n">
        <f aca="false">IF(AND(A137&gt;=Impostazioni!$B$4,A137&lt;=Impostazioni!$B$5),1,0)</f>
        <v>1</v>
      </c>
      <c r="D137" s="77" t="n">
        <f aca="false">IF(COUNTIF(Impostazioni!$A$27:$A$56,A137)&gt;0,1,0)</f>
        <v>0</v>
      </c>
      <c r="E137" s="77" t="n">
        <f aca="false">IF(COUNTIFS(Impostazioni!$A$16:$A$23,"&lt;="&amp;A137,Impostazioni!$B$16:$B$23,"&gt;="&amp;A137)&gt;0,1,0)</f>
        <v>0</v>
      </c>
      <c r="F137" s="77" t="n">
        <f aca="false">IF(AND(C137=1,D137=0,E137=0),1,0)</f>
        <v>1</v>
      </c>
      <c r="G137" s="77" t="n">
        <f aca="false">(YEAR(A137)-YEAR(Impostazioni!$B$11))*12+MONTH(A137)-MONTH(Impostazioni!$B$11)</f>
        <v>4</v>
      </c>
      <c r="H137" s="77" t="n">
        <f aca="false">INT((DAY(A137)-1+WEEKDAY(DATE(YEAR(A137),MONTH(A137),1),2)-1)/7)</f>
        <v>1</v>
      </c>
      <c r="I137" s="77" t="str">
        <f aca="false">IF(G137&gt;11,"",INDEX(Calendario!$A$14:$G$193,4+15*G137+2*H137,WEEKDAY(A137,2))&amp;"")</f>
        <v/>
      </c>
      <c r="J137" s="77" t="n">
        <f aca="false">IF(AND(F137=1,I137="A"),1,0)</f>
        <v>0</v>
      </c>
      <c r="K137" s="77" t="n">
        <f aca="false">IF(AND(F137=1,I137="G"),1,0)</f>
        <v>0</v>
      </c>
      <c r="L137" s="77" t="n">
        <f aca="false">IF(AND(F137=1,A137&gt;=Impostazioni!$B$8),1,0)</f>
        <v>1</v>
      </c>
      <c r="M137" s="77" t="n">
        <f aca="false">IF(C137=0,3,IF(OR(D137=1,E137=1),2,IF(WEEKDAY(A137,2)&gt;5,1,0)))</f>
        <v>1</v>
      </c>
      <c r="N137" s="77" t="str">
        <f aca="false">IF(OR(I137="A",I137="G"),MAX(N$1:N136)+1,"")</f>
        <v/>
      </c>
    </row>
    <row r="138" customFormat="false" ht="15" hidden="false" customHeight="false" outlineLevel="0" collapsed="false">
      <c r="A138" s="75" t="n">
        <f aca="false">A137+1</f>
        <v>46432</v>
      </c>
      <c r="B138" s="76" t="n">
        <f aca="false">DATE(YEAR(A138),MONTH(A138),1)</f>
        <v>46419</v>
      </c>
      <c r="C138" s="77" t="n">
        <f aca="false">IF(AND(A138&gt;=Impostazioni!$B$4,A138&lt;=Impostazioni!$B$5),1,0)</f>
        <v>1</v>
      </c>
      <c r="D138" s="77" t="n">
        <f aca="false">IF(COUNTIF(Impostazioni!$A$27:$A$56,A138)&gt;0,1,0)</f>
        <v>0</v>
      </c>
      <c r="E138" s="77" t="n">
        <f aca="false">IF(COUNTIFS(Impostazioni!$A$16:$A$23,"&lt;="&amp;A138,Impostazioni!$B$16:$B$23,"&gt;="&amp;A138)&gt;0,1,0)</f>
        <v>0</v>
      </c>
      <c r="F138" s="77" t="n">
        <f aca="false">IF(AND(C138=1,D138=0,E138=0),1,0)</f>
        <v>1</v>
      </c>
      <c r="G138" s="77" t="n">
        <f aca="false">(YEAR(A138)-YEAR(Impostazioni!$B$11))*12+MONTH(A138)-MONTH(Impostazioni!$B$11)</f>
        <v>4</v>
      </c>
      <c r="H138" s="77" t="n">
        <f aca="false">INT((DAY(A138)-1+WEEKDAY(DATE(YEAR(A138),MONTH(A138),1),2)-1)/7)</f>
        <v>1</v>
      </c>
      <c r="I138" s="77" t="str">
        <f aca="false">IF(G138&gt;11,"",INDEX(Calendario!$A$14:$G$193,4+15*G138+2*H138,WEEKDAY(A138,2))&amp;"")</f>
        <v/>
      </c>
      <c r="J138" s="77" t="n">
        <f aca="false">IF(AND(F138=1,I138="A"),1,0)</f>
        <v>0</v>
      </c>
      <c r="K138" s="77" t="n">
        <f aca="false">IF(AND(F138=1,I138="G"),1,0)</f>
        <v>0</v>
      </c>
      <c r="L138" s="77" t="n">
        <f aca="false">IF(AND(F138=1,A138&gt;=Impostazioni!$B$8),1,0)</f>
        <v>1</v>
      </c>
      <c r="M138" s="77" t="n">
        <f aca="false">IF(C138=0,3,IF(OR(D138=1,E138=1),2,IF(WEEKDAY(A138,2)&gt;5,1,0)))</f>
        <v>1</v>
      </c>
      <c r="N138" s="77" t="str">
        <f aca="false">IF(OR(I138="A",I138="G"),MAX(N$1:N137)+1,"")</f>
        <v/>
      </c>
    </row>
    <row r="139" customFormat="false" ht="15" hidden="false" customHeight="false" outlineLevel="0" collapsed="false">
      <c r="A139" s="75" t="n">
        <f aca="false">A138+1</f>
        <v>46433</v>
      </c>
      <c r="B139" s="76" t="n">
        <f aca="false">DATE(YEAR(A139),MONTH(A139),1)</f>
        <v>46419</v>
      </c>
      <c r="C139" s="77" t="n">
        <f aca="false">IF(AND(A139&gt;=Impostazioni!$B$4,A139&lt;=Impostazioni!$B$5),1,0)</f>
        <v>1</v>
      </c>
      <c r="D139" s="77" t="n">
        <f aca="false">IF(COUNTIF(Impostazioni!$A$27:$A$56,A139)&gt;0,1,0)</f>
        <v>0</v>
      </c>
      <c r="E139" s="77" t="n">
        <f aca="false">IF(COUNTIFS(Impostazioni!$A$16:$A$23,"&lt;="&amp;A139,Impostazioni!$B$16:$B$23,"&gt;="&amp;A139)&gt;0,1,0)</f>
        <v>0</v>
      </c>
      <c r="F139" s="77" t="n">
        <f aca="false">IF(AND(C139=1,D139=0,E139=0),1,0)</f>
        <v>1</v>
      </c>
      <c r="G139" s="77" t="n">
        <f aca="false">(YEAR(A139)-YEAR(Impostazioni!$B$11))*12+MONTH(A139)-MONTH(Impostazioni!$B$11)</f>
        <v>4</v>
      </c>
      <c r="H139" s="77" t="n">
        <f aca="false">INT((DAY(A139)-1+WEEKDAY(DATE(YEAR(A139),MONTH(A139),1),2)-1)/7)</f>
        <v>2</v>
      </c>
      <c r="I139" s="77" t="str">
        <f aca="false">IF(G139&gt;11,"",INDEX(Calendario!$A$14:$G$193,4+15*G139+2*H139,WEEKDAY(A139,2))&amp;"")</f>
        <v/>
      </c>
      <c r="J139" s="77" t="n">
        <f aca="false">IF(AND(F139=1,I139="A"),1,0)</f>
        <v>0</v>
      </c>
      <c r="K139" s="77" t="n">
        <f aca="false">IF(AND(F139=1,I139="G"),1,0)</f>
        <v>0</v>
      </c>
      <c r="L139" s="77" t="n">
        <f aca="false">IF(AND(F139=1,A139&gt;=Impostazioni!$B$8),1,0)</f>
        <v>1</v>
      </c>
      <c r="M139" s="77" t="n">
        <f aca="false">IF(C139=0,3,IF(OR(D139=1,E139=1),2,IF(WEEKDAY(A139,2)&gt;5,1,0)))</f>
        <v>0</v>
      </c>
      <c r="N139" s="77" t="str">
        <f aca="false">IF(OR(I139="A",I139="G"),MAX(N$1:N138)+1,"")</f>
        <v/>
      </c>
    </row>
    <row r="140" customFormat="false" ht="15" hidden="false" customHeight="false" outlineLevel="0" collapsed="false">
      <c r="A140" s="75" t="n">
        <f aca="false">A139+1</f>
        <v>46434</v>
      </c>
      <c r="B140" s="76" t="n">
        <f aca="false">DATE(YEAR(A140),MONTH(A140),1)</f>
        <v>46419</v>
      </c>
      <c r="C140" s="77" t="n">
        <f aca="false">IF(AND(A140&gt;=Impostazioni!$B$4,A140&lt;=Impostazioni!$B$5),1,0)</f>
        <v>1</v>
      </c>
      <c r="D140" s="77" t="n">
        <f aca="false">IF(COUNTIF(Impostazioni!$A$27:$A$56,A140)&gt;0,1,0)</f>
        <v>0</v>
      </c>
      <c r="E140" s="77" t="n">
        <f aca="false">IF(COUNTIFS(Impostazioni!$A$16:$A$23,"&lt;="&amp;A140,Impostazioni!$B$16:$B$23,"&gt;="&amp;A140)&gt;0,1,0)</f>
        <v>0</v>
      </c>
      <c r="F140" s="77" t="n">
        <f aca="false">IF(AND(C140=1,D140=0,E140=0),1,0)</f>
        <v>1</v>
      </c>
      <c r="G140" s="77" t="n">
        <f aca="false">(YEAR(A140)-YEAR(Impostazioni!$B$11))*12+MONTH(A140)-MONTH(Impostazioni!$B$11)</f>
        <v>4</v>
      </c>
      <c r="H140" s="77" t="n">
        <f aca="false">INT((DAY(A140)-1+WEEKDAY(DATE(YEAR(A140),MONTH(A140),1),2)-1)/7)</f>
        <v>2</v>
      </c>
      <c r="I140" s="77" t="str">
        <f aca="false">IF(G140&gt;11,"",INDEX(Calendario!$A$14:$G$193,4+15*G140+2*H140,WEEKDAY(A140,2))&amp;"")</f>
        <v/>
      </c>
      <c r="J140" s="77" t="n">
        <f aca="false">IF(AND(F140=1,I140="A"),1,0)</f>
        <v>0</v>
      </c>
      <c r="K140" s="77" t="n">
        <f aca="false">IF(AND(F140=1,I140="G"),1,0)</f>
        <v>0</v>
      </c>
      <c r="L140" s="77" t="n">
        <f aca="false">IF(AND(F140=1,A140&gt;=Impostazioni!$B$8),1,0)</f>
        <v>1</v>
      </c>
      <c r="M140" s="77" t="n">
        <f aca="false">IF(C140=0,3,IF(OR(D140=1,E140=1),2,IF(WEEKDAY(A140,2)&gt;5,1,0)))</f>
        <v>0</v>
      </c>
      <c r="N140" s="77" t="str">
        <f aca="false">IF(OR(I140="A",I140="G"),MAX(N$1:N139)+1,"")</f>
        <v/>
      </c>
    </row>
    <row r="141" customFormat="false" ht="15" hidden="false" customHeight="false" outlineLevel="0" collapsed="false">
      <c r="A141" s="75" t="n">
        <f aca="false">A140+1</f>
        <v>46435</v>
      </c>
      <c r="B141" s="76" t="n">
        <f aca="false">DATE(YEAR(A141),MONTH(A141),1)</f>
        <v>46419</v>
      </c>
      <c r="C141" s="77" t="n">
        <f aca="false">IF(AND(A141&gt;=Impostazioni!$B$4,A141&lt;=Impostazioni!$B$5),1,0)</f>
        <v>1</v>
      </c>
      <c r="D141" s="77" t="n">
        <f aca="false">IF(COUNTIF(Impostazioni!$A$27:$A$56,A141)&gt;0,1,0)</f>
        <v>0</v>
      </c>
      <c r="E141" s="77" t="n">
        <f aca="false">IF(COUNTIFS(Impostazioni!$A$16:$A$23,"&lt;="&amp;A141,Impostazioni!$B$16:$B$23,"&gt;="&amp;A141)&gt;0,1,0)</f>
        <v>0</v>
      </c>
      <c r="F141" s="77" t="n">
        <f aca="false">IF(AND(C141=1,D141=0,E141=0),1,0)</f>
        <v>1</v>
      </c>
      <c r="G141" s="77" t="n">
        <f aca="false">(YEAR(A141)-YEAR(Impostazioni!$B$11))*12+MONTH(A141)-MONTH(Impostazioni!$B$11)</f>
        <v>4</v>
      </c>
      <c r="H141" s="77" t="n">
        <f aca="false">INT((DAY(A141)-1+WEEKDAY(DATE(YEAR(A141),MONTH(A141),1),2)-1)/7)</f>
        <v>2</v>
      </c>
      <c r="I141" s="77" t="str">
        <f aca="false">IF(G141&gt;11,"",INDEX(Calendario!$A$14:$G$193,4+15*G141+2*H141,WEEKDAY(A141,2))&amp;"")</f>
        <v/>
      </c>
      <c r="J141" s="77" t="n">
        <f aca="false">IF(AND(F141=1,I141="A"),1,0)</f>
        <v>0</v>
      </c>
      <c r="K141" s="77" t="n">
        <f aca="false">IF(AND(F141=1,I141="G"),1,0)</f>
        <v>0</v>
      </c>
      <c r="L141" s="77" t="n">
        <f aca="false">IF(AND(F141=1,A141&gt;=Impostazioni!$B$8),1,0)</f>
        <v>1</v>
      </c>
      <c r="M141" s="77" t="n">
        <f aca="false">IF(C141=0,3,IF(OR(D141=1,E141=1),2,IF(WEEKDAY(A141,2)&gt;5,1,0)))</f>
        <v>0</v>
      </c>
      <c r="N141" s="77" t="str">
        <f aca="false">IF(OR(I141="A",I141="G"),MAX(N$1:N140)+1,"")</f>
        <v/>
      </c>
    </row>
    <row r="142" customFormat="false" ht="15" hidden="false" customHeight="false" outlineLevel="0" collapsed="false">
      <c r="A142" s="75" t="n">
        <f aca="false">A141+1</f>
        <v>46436</v>
      </c>
      <c r="B142" s="76" t="n">
        <f aca="false">DATE(YEAR(A142),MONTH(A142),1)</f>
        <v>46419</v>
      </c>
      <c r="C142" s="77" t="n">
        <f aca="false">IF(AND(A142&gt;=Impostazioni!$B$4,A142&lt;=Impostazioni!$B$5),1,0)</f>
        <v>1</v>
      </c>
      <c r="D142" s="77" t="n">
        <f aca="false">IF(COUNTIF(Impostazioni!$A$27:$A$56,A142)&gt;0,1,0)</f>
        <v>0</v>
      </c>
      <c r="E142" s="77" t="n">
        <f aca="false">IF(COUNTIFS(Impostazioni!$A$16:$A$23,"&lt;="&amp;A142,Impostazioni!$B$16:$B$23,"&gt;="&amp;A142)&gt;0,1,0)</f>
        <v>0</v>
      </c>
      <c r="F142" s="77" t="n">
        <f aca="false">IF(AND(C142=1,D142=0,E142=0),1,0)</f>
        <v>1</v>
      </c>
      <c r="G142" s="77" t="n">
        <f aca="false">(YEAR(A142)-YEAR(Impostazioni!$B$11))*12+MONTH(A142)-MONTH(Impostazioni!$B$11)</f>
        <v>4</v>
      </c>
      <c r="H142" s="77" t="n">
        <f aca="false">INT((DAY(A142)-1+WEEKDAY(DATE(YEAR(A142),MONTH(A142),1),2)-1)/7)</f>
        <v>2</v>
      </c>
      <c r="I142" s="77" t="str">
        <f aca="false">IF(G142&gt;11,"",INDEX(Calendario!$A$14:$G$193,4+15*G142+2*H142,WEEKDAY(A142,2))&amp;"")</f>
        <v/>
      </c>
      <c r="J142" s="77" t="n">
        <f aca="false">IF(AND(F142=1,I142="A"),1,0)</f>
        <v>0</v>
      </c>
      <c r="K142" s="77" t="n">
        <f aca="false">IF(AND(F142=1,I142="G"),1,0)</f>
        <v>0</v>
      </c>
      <c r="L142" s="77" t="n">
        <f aca="false">IF(AND(F142=1,A142&gt;=Impostazioni!$B$8),1,0)</f>
        <v>1</v>
      </c>
      <c r="M142" s="77" t="n">
        <f aca="false">IF(C142=0,3,IF(OR(D142=1,E142=1),2,IF(WEEKDAY(A142,2)&gt;5,1,0)))</f>
        <v>0</v>
      </c>
      <c r="N142" s="77" t="str">
        <f aca="false">IF(OR(I142="A",I142="G"),MAX(N$1:N141)+1,"")</f>
        <v/>
      </c>
    </row>
    <row r="143" customFormat="false" ht="15" hidden="false" customHeight="false" outlineLevel="0" collapsed="false">
      <c r="A143" s="75" t="n">
        <f aca="false">A142+1</f>
        <v>46437</v>
      </c>
      <c r="B143" s="76" t="n">
        <f aca="false">DATE(YEAR(A143),MONTH(A143),1)</f>
        <v>46419</v>
      </c>
      <c r="C143" s="77" t="n">
        <f aca="false">IF(AND(A143&gt;=Impostazioni!$B$4,A143&lt;=Impostazioni!$B$5),1,0)</f>
        <v>1</v>
      </c>
      <c r="D143" s="77" t="n">
        <f aca="false">IF(COUNTIF(Impostazioni!$A$27:$A$56,A143)&gt;0,1,0)</f>
        <v>0</v>
      </c>
      <c r="E143" s="77" t="n">
        <f aca="false">IF(COUNTIFS(Impostazioni!$A$16:$A$23,"&lt;="&amp;A143,Impostazioni!$B$16:$B$23,"&gt;="&amp;A143)&gt;0,1,0)</f>
        <v>0</v>
      </c>
      <c r="F143" s="77" t="n">
        <f aca="false">IF(AND(C143=1,D143=0,E143=0),1,0)</f>
        <v>1</v>
      </c>
      <c r="G143" s="77" t="n">
        <f aca="false">(YEAR(A143)-YEAR(Impostazioni!$B$11))*12+MONTH(A143)-MONTH(Impostazioni!$B$11)</f>
        <v>4</v>
      </c>
      <c r="H143" s="77" t="n">
        <f aca="false">INT((DAY(A143)-1+WEEKDAY(DATE(YEAR(A143),MONTH(A143),1),2)-1)/7)</f>
        <v>2</v>
      </c>
      <c r="I143" s="77" t="str">
        <f aca="false">IF(G143&gt;11,"",INDEX(Calendario!$A$14:$G$193,4+15*G143+2*H143,WEEKDAY(A143,2))&amp;"")</f>
        <v/>
      </c>
      <c r="J143" s="77" t="n">
        <f aca="false">IF(AND(F143=1,I143="A"),1,0)</f>
        <v>0</v>
      </c>
      <c r="K143" s="77" t="n">
        <f aca="false">IF(AND(F143=1,I143="G"),1,0)</f>
        <v>0</v>
      </c>
      <c r="L143" s="77" t="n">
        <f aca="false">IF(AND(F143=1,A143&gt;=Impostazioni!$B$8),1,0)</f>
        <v>1</v>
      </c>
      <c r="M143" s="77" t="n">
        <f aca="false">IF(C143=0,3,IF(OR(D143=1,E143=1),2,IF(WEEKDAY(A143,2)&gt;5,1,0)))</f>
        <v>0</v>
      </c>
      <c r="N143" s="77" t="str">
        <f aca="false">IF(OR(I143="A",I143="G"),MAX(N$1:N142)+1,"")</f>
        <v/>
      </c>
    </row>
    <row r="144" customFormat="false" ht="15" hidden="false" customHeight="false" outlineLevel="0" collapsed="false">
      <c r="A144" s="75" t="n">
        <f aca="false">A143+1</f>
        <v>46438</v>
      </c>
      <c r="B144" s="76" t="n">
        <f aca="false">DATE(YEAR(A144),MONTH(A144),1)</f>
        <v>46419</v>
      </c>
      <c r="C144" s="77" t="n">
        <f aca="false">IF(AND(A144&gt;=Impostazioni!$B$4,A144&lt;=Impostazioni!$B$5),1,0)</f>
        <v>1</v>
      </c>
      <c r="D144" s="77" t="n">
        <f aca="false">IF(COUNTIF(Impostazioni!$A$27:$A$56,A144)&gt;0,1,0)</f>
        <v>0</v>
      </c>
      <c r="E144" s="77" t="n">
        <f aca="false">IF(COUNTIFS(Impostazioni!$A$16:$A$23,"&lt;="&amp;A144,Impostazioni!$B$16:$B$23,"&gt;="&amp;A144)&gt;0,1,0)</f>
        <v>0</v>
      </c>
      <c r="F144" s="77" t="n">
        <f aca="false">IF(AND(C144=1,D144=0,E144=0),1,0)</f>
        <v>1</v>
      </c>
      <c r="G144" s="77" t="n">
        <f aca="false">(YEAR(A144)-YEAR(Impostazioni!$B$11))*12+MONTH(A144)-MONTH(Impostazioni!$B$11)</f>
        <v>4</v>
      </c>
      <c r="H144" s="77" t="n">
        <f aca="false">INT((DAY(A144)-1+WEEKDAY(DATE(YEAR(A144),MONTH(A144),1),2)-1)/7)</f>
        <v>2</v>
      </c>
      <c r="I144" s="77" t="str">
        <f aca="false">IF(G144&gt;11,"",INDEX(Calendario!$A$14:$G$193,4+15*G144+2*H144,WEEKDAY(A144,2))&amp;"")</f>
        <v/>
      </c>
      <c r="J144" s="77" t="n">
        <f aca="false">IF(AND(F144=1,I144="A"),1,0)</f>
        <v>0</v>
      </c>
      <c r="K144" s="77" t="n">
        <f aca="false">IF(AND(F144=1,I144="G"),1,0)</f>
        <v>0</v>
      </c>
      <c r="L144" s="77" t="n">
        <f aca="false">IF(AND(F144=1,A144&gt;=Impostazioni!$B$8),1,0)</f>
        <v>1</v>
      </c>
      <c r="M144" s="77" t="n">
        <f aca="false">IF(C144=0,3,IF(OR(D144=1,E144=1),2,IF(WEEKDAY(A144,2)&gt;5,1,0)))</f>
        <v>1</v>
      </c>
      <c r="N144" s="77" t="str">
        <f aca="false">IF(OR(I144="A",I144="G"),MAX(N$1:N143)+1,"")</f>
        <v/>
      </c>
    </row>
    <row r="145" customFormat="false" ht="15" hidden="false" customHeight="false" outlineLevel="0" collapsed="false">
      <c r="A145" s="75" t="n">
        <f aca="false">A144+1</f>
        <v>46439</v>
      </c>
      <c r="B145" s="76" t="n">
        <f aca="false">DATE(YEAR(A145),MONTH(A145),1)</f>
        <v>46419</v>
      </c>
      <c r="C145" s="77" t="n">
        <f aca="false">IF(AND(A145&gt;=Impostazioni!$B$4,A145&lt;=Impostazioni!$B$5),1,0)</f>
        <v>1</v>
      </c>
      <c r="D145" s="77" t="n">
        <f aca="false">IF(COUNTIF(Impostazioni!$A$27:$A$56,A145)&gt;0,1,0)</f>
        <v>0</v>
      </c>
      <c r="E145" s="77" t="n">
        <f aca="false">IF(COUNTIFS(Impostazioni!$A$16:$A$23,"&lt;="&amp;A145,Impostazioni!$B$16:$B$23,"&gt;="&amp;A145)&gt;0,1,0)</f>
        <v>0</v>
      </c>
      <c r="F145" s="77" t="n">
        <f aca="false">IF(AND(C145=1,D145=0,E145=0),1,0)</f>
        <v>1</v>
      </c>
      <c r="G145" s="77" t="n">
        <f aca="false">(YEAR(A145)-YEAR(Impostazioni!$B$11))*12+MONTH(A145)-MONTH(Impostazioni!$B$11)</f>
        <v>4</v>
      </c>
      <c r="H145" s="77" t="n">
        <f aca="false">INT((DAY(A145)-1+WEEKDAY(DATE(YEAR(A145),MONTH(A145),1),2)-1)/7)</f>
        <v>2</v>
      </c>
      <c r="I145" s="77" t="str">
        <f aca="false">IF(G145&gt;11,"",INDEX(Calendario!$A$14:$G$193,4+15*G145+2*H145,WEEKDAY(A145,2))&amp;"")</f>
        <v/>
      </c>
      <c r="J145" s="77" t="n">
        <f aca="false">IF(AND(F145=1,I145="A"),1,0)</f>
        <v>0</v>
      </c>
      <c r="K145" s="77" t="n">
        <f aca="false">IF(AND(F145=1,I145="G"),1,0)</f>
        <v>0</v>
      </c>
      <c r="L145" s="77" t="n">
        <f aca="false">IF(AND(F145=1,A145&gt;=Impostazioni!$B$8),1,0)</f>
        <v>1</v>
      </c>
      <c r="M145" s="77" t="n">
        <f aca="false">IF(C145=0,3,IF(OR(D145=1,E145=1),2,IF(WEEKDAY(A145,2)&gt;5,1,0)))</f>
        <v>1</v>
      </c>
      <c r="N145" s="77" t="str">
        <f aca="false">IF(OR(I145="A",I145="G"),MAX(N$1:N144)+1,"")</f>
        <v/>
      </c>
    </row>
    <row r="146" customFormat="false" ht="15" hidden="false" customHeight="false" outlineLevel="0" collapsed="false">
      <c r="A146" s="75" t="n">
        <f aca="false">A145+1</f>
        <v>46440</v>
      </c>
      <c r="B146" s="76" t="n">
        <f aca="false">DATE(YEAR(A146),MONTH(A146),1)</f>
        <v>46419</v>
      </c>
      <c r="C146" s="77" t="n">
        <f aca="false">IF(AND(A146&gt;=Impostazioni!$B$4,A146&lt;=Impostazioni!$B$5),1,0)</f>
        <v>1</v>
      </c>
      <c r="D146" s="77" t="n">
        <f aca="false">IF(COUNTIF(Impostazioni!$A$27:$A$56,A146)&gt;0,1,0)</f>
        <v>0</v>
      </c>
      <c r="E146" s="77" t="n">
        <f aca="false">IF(COUNTIFS(Impostazioni!$A$16:$A$23,"&lt;="&amp;A146,Impostazioni!$B$16:$B$23,"&gt;="&amp;A146)&gt;0,1,0)</f>
        <v>0</v>
      </c>
      <c r="F146" s="77" t="n">
        <f aca="false">IF(AND(C146=1,D146=0,E146=0),1,0)</f>
        <v>1</v>
      </c>
      <c r="G146" s="77" t="n">
        <f aca="false">(YEAR(A146)-YEAR(Impostazioni!$B$11))*12+MONTH(A146)-MONTH(Impostazioni!$B$11)</f>
        <v>4</v>
      </c>
      <c r="H146" s="77" t="n">
        <f aca="false">INT((DAY(A146)-1+WEEKDAY(DATE(YEAR(A146),MONTH(A146),1),2)-1)/7)</f>
        <v>3</v>
      </c>
      <c r="I146" s="77" t="str">
        <f aca="false">IF(G146&gt;11,"",INDEX(Calendario!$A$14:$G$193,4+15*G146+2*H146,WEEKDAY(A146,2))&amp;"")</f>
        <v/>
      </c>
      <c r="J146" s="77" t="n">
        <f aca="false">IF(AND(F146=1,I146="A"),1,0)</f>
        <v>0</v>
      </c>
      <c r="K146" s="77" t="n">
        <f aca="false">IF(AND(F146=1,I146="G"),1,0)</f>
        <v>0</v>
      </c>
      <c r="L146" s="77" t="n">
        <f aca="false">IF(AND(F146=1,A146&gt;=Impostazioni!$B$8),1,0)</f>
        <v>1</v>
      </c>
      <c r="M146" s="77" t="n">
        <f aca="false">IF(C146=0,3,IF(OR(D146=1,E146=1),2,IF(WEEKDAY(A146,2)&gt;5,1,0)))</f>
        <v>0</v>
      </c>
      <c r="N146" s="77" t="str">
        <f aca="false">IF(OR(I146="A",I146="G"),MAX(N$1:N145)+1,"")</f>
        <v/>
      </c>
    </row>
    <row r="147" customFormat="false" ht="15" hidden="false" customHeight="false" outlineLevel="0" collapsed="false">
      <c r="A147" s="75" t="n">
        <f aca="false">A146+1</f>
        <v>46441</v>
      </c>
      <c r="B147" s="76" t="n">
        <f aca="false">DATE(YEAR(A147),MONTH(A147),1)</f>
        <v>46419</v>
      </c>
      <c r="C147" s="77" t="n">
        <f aca="false">IF(AND(A147&gt;=Impostazioni!$B$4,A147&lt;=Impostazioni!$B$5),1,0)</f>
        <v>1</v>
      </c>
      <c r="D147" s="77" t="n">
        <f aca="false">IF(COUNTIF(Impostazioni!$A$27:$A$56,A147)&gt;0,1,0)</f>
        <v>0</v>
      </c>
      <c r="E147" s="77" t="n">
        <f aca="false">IF(COUNTIFS(Impostazioni!$A$16:$A$23,"&lt;="&amp;A147,Impostazioni!$B$16:$B$23,"&gt;="&amp;A147)&gt;0,1,0)</f>
        <v>0</v>
      </c>
      <c r="F147" s="77" t="n">
        <f aca="false">IF(AND(C147=1,D147=0,E147=0),1,0)</f>
        <v>1</v>
      </c>
      <c r="G147" s="77" t="n">
        <f aca="false">(YEAR(A147)-YEAR(Impostazioni!$B$11))*12+MONTH(A147)-MONTH(Impostazioni!$B$11)</f>
        <v>4</v>
      </c>
      <c r="H147" s="77" t="n">
        <f aca="false">INT((DAY(A147)-1+WEEKDAY(DATE(YEAR(A147),MONTH(A147),1),2)-1)/7)</f>
        <v>3</v>
      </c>
      <c r="I147" s="77" t="str">
        <f aca="false">IF(G147&gt;11,"",INDEX(Calendario!$A$14:$G$193,4+15*G147+2*H147,WEEKDAY(A147,2))&amp;"")</f>
        <v/>
      </c>
      <c r="J147" s="77" t="n">
        <f aca="false">IF(AND(F147=1,I147="A"),1,0)</f>
        <v>0</v>
      </c>
      <c r="K147" s="77" t="n">
        <f aca="false">IF(AND(F147=1,I147="G"),1,0)</f>
        <v>0</v>
      </c>
      <c r="L147" s="77" t="n">
        <f aca="false">IF(AND(F147=1,A147&gt;=Impostazioni!$B$8),1,0)</f>
        <v>1</v>
      </c>
      <c r="M147" s="77" t="n">
        <f aca="false">IF(C147=0,3,IF(OR(D147=1,E147=1),2,IF(WEEKDAY(A147,2)&gt;5,1,0)))</f>
        <v>0</v>
      </c>
      <c r="N147" s="77" t="str">
        <f aca="false">IF(OR(I147="A",I147="G"),MAX(N$1:N146)+1,"")</f>
        <v/>
      </c>
    </row>
    <row r="148" customFormat="false" ht="15" hidden="false" customHeight="false" outlineLevel="0" collapsed="false">
      <c r="A148" s="75" t="n">
        <f aca="false">A147+1</f>
        <v>46442</v>
      </c>
      <c r="B148" s="76" t="n">
        <f aca="false">DATE(YEAR(A148),MONTH(A148),1)</f>
        <v>46419</v>
      </c>
      <c r="C148" s="77" t="n">
        <f aca="false">IF(AND(A148&gt;=Impostazioni!$B$4,A148&lt;=Impostazioni!$B$5),1,0)</f>
        <v>1</v>
      </c>
      <c r="D148" s="77" t="n">
        <f aca="false">IF(COUNTIF(Impostazioni!$A$27:$A$56,A148)&gt;0,1,0)</f>
        <v>0</v>
      </c>
      <c r="E148" s="77" t="n">
        <f aca="false">IF(COUNTIFS(Impostazioni!$A$16:$A$23,"&lt;="&amp;A148,Impostazioni!$B$16:$B$23,"&gt;="&amp;A148)&gt;0,1,0)</f>
        <v>0</v>
      </c>
      <c r="F148" s="77" t="n">
        <f aca="false">IF(AND(C148=1,D148=0,E148=0),1,0)</f>
        <v>1</v>
      </c>
      <c r="G148" s="77" t="n">
        <f aca="false">(YEAR(A148)-YEAR(Impostazioni!$B$11))*12+MONTH(A148)-MONTH(Impostazioni!$B$11)</f>
        <v>4</v>
      </c>
      <c r="H148" s="77" t="n">
        <f aca="false">INT((DAY(A148)-1+WEEKDAY(DATE(YEAR(A148),MONTH(A148),1),2)-1)/7)</f>
        <v>3</v>
      </c>
      <c r="I148" s="77" t="str">
        <f aca="false">IF(G148&gt;11,"",INDEX(Calendario!$A$14:$G$193,4+15*G148+2*H148,WEEKDAY(A148,2))&amp;"")</f>
        <v/>
      </c>
      <c r="J148" s="77" t="n">
        <f aca="false">IF(AND(F148=1,I148="A"),1,0)</f>
        <v>0</v>
      </c>
      <c r="K148" s="77" t="n">
        <f aca="false">IF(AND(F148=1,I148="G"),1,0)</f>
        <v>0</v>
      </c>
      <c r="L148" s="77" t="n">
        <f aca="false">IF(AND(F148=1,A148&gt;=Impostazioni!$B$8),1,0)</f>
        <v>1</v>
      </c>
      <c r="M148" s="77" t="n">
        <f aca="false">IF(C148=0,3,IF(OR(D148=1,E148=1),2,IF(WEEKDAY(A148,2)&gt;5,1,0)))</f>
        <v>0</v>
      </c>
      <c r="N148" s="77" t="str">
        <f aca="false">IF(OR(I148="A",I148="G"),MAX(N$1:N147)+1,"")</f>
        <v/>
      </c>
    </row>
    <row r="149" customFormat="false" ht="15" hidden="false" customHeight="false" outlineLevel="0" collapsed="false">
      <c r="A149" s="75" t="n">
        <f aca="false">A148+1</f>
        <v>46443</v>
      </c>
      <c r="B149" s="76" t="n">
        <f aca="false">DATE(YEAR(A149),MONTH(A149),1)</f>
        <v>46419</v>
      </c>
      <c r="C149" s="77" t="n">
        <f aca="false">IF(AND(A149&gt;=Impostazioni!$B$4,A149&lt;=Impostazioni!$B$5),1,0)</f>
        <v>1</v>
      </c>
      <c r="D149" s="77" t="n">
        <f aca="false">IF(COUNTIF(Impostazioni!$A$27:$A$56,A149)&gt;0,1,0)</f>
        <v>0</v>
      </c>
      <c r="E149" s="77" t="n">
        <f aca="false">IF(COUNTIFS(Impostazioni!$A$16:$A$23,"&lt;="&amp;A149,Impostazioni!$B$16:$B$23,"&gt;="&amp;A149)&gt;0,1,0)</f>
        <v>0</v>
      </c>
      <c r="F149" s="77" t="n">
        <f aca="false">IF(AND(C149=1,D149=0,E149=0),1,0)</f>
        <v>1</v>
      </c>
      <c r="G149" s="77" t="n">
        <f aca="false">(YEAR(A149)-YEAR(Impostazioni!$B$11))*12+MONTH(A149)-MONTH(Impostazioni!$B$11)</f>
        <v>4</v>
      </c>
      <c r="H149" s="77" t="n">
        <f aca="false">INT((DAY(A149)-1+WEEKDAY(DATE(YEAR(A149),MONTH(A149),1),2)-1)/7)</f>
        <v>3</v>
      </c>
      <c r="I149" s="77" t="str">
        <f aca="false">IF(G149&gt;11,"",INDEX(Calendario!$A$14:$G$193,4+15*G149+2*H149,WEEKDAY(A149,2))&amp;"")</f>
        <v/>
      </c>
      <c r="J149" s="77" t="n">
        <f aca="false">IF(AND(F149=1,I149="A"),1,0)</f>
        <v>0</v>
      </c>
      <c r="K149" s="77" t="n">
        <f aca="false">IF(AND(F149=1,I149="G"),1,0)</f>
        <v>0</v>
      </c>
      <c r="L149" s="77" t="n">
        <f aca="false">IF(AND(F149=1,A149&gt;=Impostazioni!$B$8),1,0)</f>
        <v>1</v>
      </c>
      <c r="M149" s="77" t="n">
        <f aca="false">IF(C149=0,3,IF(OR(D149=1,E149=1),2,IF(WEEKDAY(A149,2)&gt;5,1,0)))</f>
        <v>0</v>
      </c>
      <c r="N149" s="77" t="str">
        <f aca="false">IF(OR(I149="A",I149="G"),MAX(N$1:N148)+1,"")</f>
        <v/>
      </c>
    </row>
    <row r="150" customFormat="false" ht="15" hidden="false" customHeight="false" outlineLevel="0" collapsed="false">
      <c r="A150" s="75" t="n">
        <f aca="false">A149+1</f>
        <v>46444</v>
      </c>
      <c r="B150" s="76" t="n">
        <f aca="false">DATE(YEAR(A150),MONTH(A150),1)</f>
        <v>46419</v>
      </c>
      <c r="C150" s="77" t="n">
        <f aca="false">IF(AND(A150&gt;=Impostazioni!$B$4,A150&lt;=Impostazioni!$B$5),1,0)</f>
        <v>1</v>
      </c>
      <c r="D150" s="77" t="n">
        <f aca="false">IF(COUNTIF(Impostazioni!$A$27:$A$56,A150)&gt;0,1,0)</f>
        <v>0</v>
      </c>
      <c r="E150" s="77" t="n">
        <f aca="false">IF(COUNTIFS(Impostazioni!$A$16:$A$23,"&lt;="&amp;A150,Impostazioni!$B$16:$B$23,"&gt;="&amp;A150)&gt;0,1,0)</f>
        <v>0</v>
      </c>
      <c r="F150" s="77" t="n">
        <f aca="false">IF(AND(C150=1,D150=0,E150=0),1,0)</f>
        <v>1</v>
      </c>
      <c r="G150" s="77" t="n">
        <f aca="false">(YEAR(A150)-YEAR(Impostazioni!$B$11))*12+MONTH(A150)-MONTH(Impostazioni!$B$11)</f>
        <v>4</v>
      </c>
      <c r="H150" s="77" t="n">
        <f aca="false">INT((DAY(A150)-1+WEEKDAY(DATE(YEAR(A150),MONTH(A150),1),2)-1)/7)</f>
        <v>3</v>
      </c>
      <c r="I150" s="77" t="str">
        <f aca="false">IF(G150&gt;11,"",INDEX(Calendario!$A$14:$G$193,4+15*G150+2*H150,WEEKDAY(A150,2))&amp;"")</f>
        <v/>
      </c>
      <c r="J150" s="77" t="n">
        <f aca="false">IF(AND(F150=1,I150="A"),1,0)</f>
        <v>0</v>
      </c>
      <c r="K150" s="77" t="n">
        <f aca="false">IF(AND(F150=1,I150="G"),1,0)</f>
        <v>0</v>
      </c>
      <c r="L150" s="77" t="n">
        <f aca="false">IF(AND(F150=1,A150&gt;=Impostazioni!$B$8),1,0)</f>
        <v>1</v>
      </c>
      <c r="M150" s="77" t="n">
        <f aca="false">IF(C150=0,3,IF(OR(D150=1,E150=1),2,IF(WEEKDAY(A150,2)&gt;5,1,0)))</f>
        <v>0</v>
      </c>
      <c r="N150" s="77" t="str">
        <f aca="false">IF(OR(I150="A",I150="G"),MAX(N$1:N149)+1,"")</f>
        <v/>
      </c>
    </row>
    <row r="151" customFormat="false" ht="15" hidden="false" customHeight="false" outlineLevel="0" collapsed="false">
      <c r="A151" s="75" t="n">
        <f aca="false">A150+1</f>
        <v>46445</v>
      </c>
      <c r="B151" s="76" t="n">
        <f aca="false">DATE(YEAR(A151),MONTH(A151),1)</f>
        <v>46419</v>
      </c>
      <c r="C151" s="77" t="n">
        <f aca="false">IF(AND(A151&gt;=Impostazioni!$B$4,A151&lt;=Impostazioni!$B$5),1,0)</f>
        <v>1</v>
      </c>
      <c r="D151" s="77" t="n">
        <f aca="false">IF(COUNTIF(Impostazioni!$A$27:$A$56,A151)&gt;0,1,0)</f>
        <v>0</v>
      </c>
      <c r="E151" s="77" t="n">
        <f aca="false">IF(COUNTIFS(Impostazioni!$A$16:$A$23,"&lt;="&amp;A151,Impostazioni!$B$16:$B$23,"&gt;="&amp;A151)&gt;0,1,0)</f>
        <v>0</v>
      </c>
      <c r="F151" s="77" t="n">
        <f aca="false">IF(AND(C151=1,D151=0,E151=0),1,0)</f>
        <v>1</v>
      </c>
      <c r="G151" s="77" t="n">
        <f aca="false">(YEAR(A151)-YEAR(Impostazioni!$B$11))*12+MONTH(A151)-MONTH(Impostazioni!$B$11)</f>
        <v>4</v>
      </c>
      <c r="H151" s="77" t="n">
        <f aca="false">INT((DAY(A151)-1+WEEKDAY(DATE(YEAR(A151),MONTH(A151),1),2)-1)/7)</f>
        <v>3</v>
      </c>
      <c r="I151" s="77" t="str">
        <f aca="false">IF(G151&gt;11,"",INDEX(Calendario!$A$14:$G$193,4+15*G151+2*H151,WEEKDAY(A151,2))&amp;"")</f>
        <v/>
      </c>
      <c r="J151" s="77" t="n">
        <f aca="false">IF(AND(F151=1,I151="A"),1,0)</f>
        <v>0</v>
      </c>
      <c r="K151" s="77" t="n">
        <f aca="false">IF(AND(F151=1,I151="G"),1,0)</f>
        <v>0</v>
      </c>
      <c r="L151" s="77" t="n">
        <f aca="false">IF(AND(F151=1,A151&gt;=Impostazioni!$B$8),1,0)</f>
        <v>1</v>
      </c>
      <c r="M151" s="77" t="n">
        <f aca="false">IF(C151=0,3,IF(OR(D151=1,E151=1),2,IF(WEEKDAY(A151,2)&gt;5,1,0)))</f>
        <v>1</v>
      </c>
      <c r="N151" s="77" t="str">
        <f aca="false">IF(OR(I151="A",I151="G"),MAX(N$1:N150)+1,"")</f>
        <v/>
      </c>
    </row>
    <row r="152" customFormat="false" ht="15" hidden="false" customHeight="false" outlineLevel="0" collapsed="false">
      <c r="A152" s="75" t="n">
        <f aca="false">A151+1</f>
        <v>46446</v>
      </c>
      <c r="B152" s="76" t="n">
        <f aca="false">DATE(YEAR(A152),MONTH(A152),1)</f>
        <v>46419</v>
      </c>
      <c r="C152" s="77" t="n">
        <f aca="false">IF(AND(A152&gt;=Impostazioni!$B$4,A152&lt;=Impostazioni!$B$5),1,0)</f>
        <v>1</v>
      </c>
      <c r="D152" s="77" t="n">
        <f aca="false">IF(COUNTIF(Impostazioni!$A$27:$A$56,A152)&gt;0,1,0)</f>
        <v>0</v>
      </c>
      <c r="E152" s="77" t="n">
        <f aca="false">IF(COUNTIFS(Impostazioni!$A$16:$A$23,"&lt;="&amp;A152,Impostazioni!$B$16:$B$23,"&gt;="&amp;A152)&gt;0,1,0)</f>
        <v>0</v>
      </c>
      <c r="F152" s="77" t="n">
        <f aca="false">IF(AND(C152=1,D152=0,E152=0),1,0)</f>
        <v>1</v>
      </c>
      <c r="G152" s="77" t="n">
        <f aca="false">(YEAR(A152)-YEAR(Impostazioni!$B$11))*12+MONTH(A152)-MONTH(Impostazioni!$B$11)</f>
        <v>4</v>
      </c>
      <c r="H152" s="77" t="n">
        <f aca="false">INT((DAY(A152)-1+WEEKDAY(DATE(YEAR(A152),MONTH(A152),1),2)-1)/7)</f>
        <v>3</v>
      </c>
      <c r="I152" s="77" t="str">
        <f aca="false">IF(G152&gt;11,"",INDEX(Calendario!$A$14:$G$193,4+15*G152+2*H152,WEEKDAY(A152,2))&amp;"")</f>
        <v/>
      </c>
      <c r="J152" s="77" t="n">
        <f aca="false">IF(AND(F152=1,I152="A"),1,0)</f>
        <v>0</v>
      </c>
      <c r="K152" s="77" t="n">
        <f aca="false">IF(AND(F152=1,I152="G"),1,0)</f>
        <v>0</v>
      </c>
      <c r="L152" s="77" t="n">
        <f aca="false">IF(AND(F152=1,A152&gt;=Impostazioni!$B$8),1,0)</f>
        <v>1</v>
      </c>
      <c r="M152" s="77" t="n">
        <f aca="false">IF(C152=0,3,IF(OR(D152=1,E152=1),2,IF(WEEKDAY(A152,2)&gt;5,1,0)))</f>
        <v>1</v>
      </c>
      <c r="N152" s="77" t="str">
        <f aca="false">IF(OR(I152="A",I152="G"),MAX(N$1:N151)+1,"")</f>
        <v/>
      </c>
    </row>
    <row r="153" customFormat="false" ht="15" hidden="false" customHeight="false" outlineLevel="0" collapsed="false">
      <c r="A153" s="75" t="n">
        <f aca="false">A152+1</f>
        <v>46447</v>
      </c>
      <c r="B153" s="76" t="n">
        <f aca="false">DATE(YEAR(A153),MONTH(A153),1)</f>
        <v>46447</v>
      </c>
      <c r="C153" s="77" t="n">
        <f aca="false">IF(AND(A153&gt;=Impostazioni!$B$4,A153&lt;=Impostazioni!$B$5),1,0)</f>
        <v>1</v>
      </c>
      <c r="D153" s="77" t="n">
        <f aca="false">IF(COUNTIF(Impostazioni!$A$27:$A$56,A153)&gt;0,1,0)</f>
        <v>0</v>
      </c>
      <c r="E153" s="77" t="n">
        <f aca="false">IF(COUNTIFS(Impostazioni!$A$16:$A$23,"&lt;="&amp;A153,Impostazioni!$B$16:$B$23,"&gt;="&amp;A153)&gt;0,1,0)</f>
        <v>0</v>
      </c>
      <c r="F153" s="77" t="n">
        <f aca="false">IF(AND(C153=1,D153=0,E153=0),1,0)</f>
        <v>1</v>
      </c>
      <c r="G153" s="77" t="n">
        <f aca="false">(YEAR(A153)-YEAR(Impostazioni!$B$11))*12+MONTH(A153)-MONTH(Impostazioni!$B$11)</f>
        <v>5</v>
      </c>
      <c r="H153" s="77" t="n">
        <f aca="false">INT((DAY(A153)-1+WEEKDAY(DATE(YEAR(A153),MONTH(A153),1),2)-1)/7)</f>
        <v>0</v>
      </c>
      <c r="I153" s="77" t="str">
        <f aca="false">IF(G153&gt;11,"",INDEX(Calendario!$A$14:$G$193,4+15*G153+2*H153,WEEKDAY(A153,2))&amp;"")</f>
        <v/>
      </c>
      <c r="J153" s="77" t="n">
        <f aca="false">IF(AND(F153=1,I153="A"),1,0)</f>
        <v>0</v>
      </c>
      <c r="K153" s="77" t="n">
        <f aca="false">IF(AND(F153=1,I153="G"),1,0)</f>
        <v>0</v>
      </c>
      <c r="L153" s="77" t="n">
        <f aca="false">IF(AND(F153=1,A153&gt;=Impostazioni!$B$8),1,0)</f>
        <v>1</v>
      </c>
      <c r="M153" s="77" t="n">
        <f aca="false">IF(C153=0,3,IF(OR(D153=1,E153=1),2,IF(WEEKDAY(A153,2)&gt;5,1,0)))</f>
        <v>0</v>
      </c>
      <c r="N153" s="77" t="str">
        <f aca="false">IF(OR(I153="A",I153="G"),MAX(N$1:N152)+1,"")</f>
        <v/>
      </c>
    </row>
    <row r="154" customFormat="false" ht="15" hidden="false" customHeight="false" outlineLevel="0" collapsed="false">
      <c r="A154" s="75" t="n">
        <f aca="false">A153+1</f>
        <v>46448</v>
      </c>
      <c r="B154" s="76" t="n">
        <f aca="false">DATE(YEAR(A154),MONTH(A154),1)</f>
        <v>46447</v>
      </c>
      <c r="C154" s="77" t="n">
        <f aca="false">IF(AND(A154&gt;=Impostazioni!$B$4,A154&lt;=Impostazioni!$B$5),1,0)</f>
        <v>1</v>
      </c>
      <c r="D154" s="77" t="n">
        <f aca="false">IF(COUNTIF(Impostazioni!$A$27:$A$56,A154)&gt;0,1,0)</f>
        <v>0</v>
      </c>
      <c r="E154" s="77" t="n">
        <f aca="false">IF(COUNTIFS(Impostazioni!$A$16:$A$23,"&lt;="&amp;A154,Impostazioni!$B$16:$B$23,"&gt;="&amp;A154)&gt;0,1,0)</f>
        <v>0</v>
      </c>
      <c r="F154" s="77" t="n">
        <f aca="false">IF(AND(C154=1,D154=0,E154=0),1,0)</f>
        <v>1</v>
      </c>
      <c r="G154" s="77" t="n">
        <f aca="false">(YEAR(A154)-YEAR(Impostazioni!$B$11))*12+MONTH(A154)-MONTH(Impostazioni!$B$11)</f>
        <v>5</v>
      </c>
      <c r="H154" s="77" t="n">
        <f aca="false">INT((DAY(A154)-1+WEEKDAY(DATE(YEAR(A154),MONTH(A154),1),2)-1)/7)</f>
        <v>0</v>
      </c>
      <c r="I154" s="77" t="str">
        <f aca="false">IF(G154&gt;11,"",INDEX(Calendario!$A$14:$G$193,4+15*G154+2*H154,WEEKDAY(A154,2))&amp;"")</f>
        <v/>
      </c>
      <c r="J154" s="77" t="n">
        <f aca="false">IF(AND(F154=1,I154="A"),1,0)</f>
        <v>0</v>
      </c>
      <c r="K154" s="77" t="n">
        <f aca="false">IF(AND(F154=1,I154="G"),1,0)</f>
        <v>0</v>
      </c>
      <c r="L154" s="77" t="n">
        <f aca="false">IF(AND(F154=1,A154&gt;=Impostazioni!$B$8),1,0)</f>
        <v>1</v>
      </c>
      <c r="M154" s="77" t="n">
        <f aca="false">IF(C154=0,3,IF(OR(D154=1,E154=1),2,IF(WEEKDAY(A154,2)&gt;5,1,0)))</f>
        <v>0</v>
      </c>
      <c r="N154" s="77" t="str">
        <f aca="false">IF(OR(I154="A",I154="G"),MAX(N$1:N153)+1,"")</f>
        <v/>
      </c>
    </row>
    <row r="155" customFormat="false" ht="15" hidden="false" customHeight="false" outlineLevel="0" collapsed="false">
      <c r="A155" s="75" t="n">
        <f aca="false">A154+1</f>
        <v>46449</v>
      </c>
      <c r="B155" s="76" t="n">
        <f aca="false">DATE(YEAR(A155),MONTH(A155),1)</f>
        <v>46447</v>
      </c>
      <c r="C155" s="77" t="n">
        <f aca="false">IF(AND(A155&gt;=Impostazioni!$B$4,A155&lt;=Impostazioni!$B$5),1,0)</f>
        <v>1</v>
      </c>
      <c r="D155" s="77" t="n">
        <f aca="false">IF(COUNTIF(Impostazioni!$A$27:$A$56,A155)&gt;0,1,0)</f>
        <v>0</v>
      </c>
      <c r="E155" s="77" t="n">
        <f aca="false">IF(COUNTIFS(Impostazioni!$A$16:$A$23,"&lt;="&amp;A155,Impostazioni!$B$16:$B$23,"&gt;="&amp;A155)&gt;0,1,0)</f>
        <v>0</v>
      </c>
      <c r="F155" s="77" t="n">
        <f aca="false">IF(AND(C155=1,D155=0,E155=0),1,0)</f>
        <v>1</v>
      </c>
      <c r="G155" s="77" t="n">
        <f aca="false">(YEAR(A155)-YEAR(Impostazioni!$B$11))*12+MONTH(A155)-MONTH(Impostazioni!$B$11)</f>
        <v>5</v>
      </c>
      <c r="H155" s="77" t="n">
        <f aca="false">INT((DAY(A155)-1+WEEKDAY(DATE(YEAR(A155),MONTH(A155),1),2)-1)/7)</f>
        <v>0</v>
      </c>
      <c r="I155" s="77" t="str">
        <f aca="false">IF(G155&gt;11,"",INDEX(Calendario!$A$14:$G$193,4+15*G155+2*H155,WEEKDAY(A155,2))&amp;"")</f>
        <v/>
      </c>
      <c r="J155" s="77" t="n">
        <f aca="false">IF(AND(F155=1,I155="A"),1,0)</f>
        <v>0</v>
      </c>
      <c r="K155" s="77" t="n">
        <f aca="false">IF(AND(F155=1,I155="G"),1,0)</f>
        <v>0</v>
      </c>
      <c r="L155" s="77" t="n">
        <f aca="false">IF(AND(F155=1,A155&gt;=Impostazioni!$B$8),1,0)</f>
        <v>1</v>
      </c>
      <c r="M155" s="77" t="n">
        <f aca="false">IF(C155=0,3,IF(OR(D155=1,E155=1),2,IF(WEEKDAY(A155,2)&gt;5,1,0)))</f>
        <v>0</v>
      </c>
      <c r="N155" s="77" t="str">
        <f aca="false">IF(OR(I155="A",I155="G"),MAX(N$1:N154)+1,"")</f>
        <v/>
      </c>
    </row>
    <row r="156" customFormat="false" ht="15" hidden="false" customHeight="false" outlineLevel="0" collapsed="false">
      <c r="A156" s="75" t="n">
        <f aca="false">A155+1</f>
        <v>46450</v>
      </c>
      <c r="B156" s="76" t="n">
        <f aca="false">DATE(YEAR(A156),MONTH(A156),1)</f>
        <v>46447</v>
      </c>
      <c r="C156" s="77" t="n">
        <f aca="false">IF(AND(A156&gt;=Impostazioni!$B$4,A156&lt;=Impostazioni!$B$5),1,0)</f>
        <v>1</v>
      </c>
      <c r="D156" s="77" t="n">
        <f aca="false">IF(COUNTIF(Impostazioni!$A$27:$A$56,A156)&gt;0,1,0)</f>
        <v>0</v>
      </c>
      <c r="E156" s="77" t="n">
        <f aca="false">IF(COUNTIFS(Impostazioni!$A$16:$A$23,"&lt;="&amp;A156,Impostazioni!$B$16:$B$23,"&gt;="&amp;A156)&gt;0,1,0)</f>
        <v>0</v>
      </c>
      <c r="F156" s="77" t="n">
        <f aca="false">IF(AND(C156=1,D156=0,E156=0),1,0)</f>
        <v>1</v>
      </c>
      <c r="G156" s="77" t="n">
        <f aca="false">(YEAR(A156)-YEAR(Impostazioni!$B$11))*12+MONTH(A156)-MONTH(Impostazioni!$B$11)</f>
        <v>5</v>
      </c>
      <c r="H156" s="77" t="n">
        <f aca="false">INT((DAY(A156)-1+WEEKDAY(DATE(YEAR(A156),MONTH(A156),1),2)-1)/7)</f>
        <v>0</v>
      </c>
      <c r="I156" s="77" t="str">
        <f aca="false">IF(G156&gt;11,"",INDEX(Calendario!$A$14:$G$193,4+15*G156+2*H156,WEEKDAY(A156,2))&amp;"")</f>
        <v/>
      </c>
      <c r="J156" s="77" t="n">
        <f aca="false">IF(AND(F156=1,I156="A"),1,0)</f>
        <v>0</v>
      </c>
      <c r="K156" s="77" t="n">
        <f aca="false">IF(AND(F156=1,I156="G"),1,0)</f>
        <v>0</v>
      </c>
      <c r="L156" s="77" t="n">
        <f aca="false">IF(AND(F156=1,A156&gt;=Impostazioni!$B$8),1,0)</f>
        <v>1</v>
      </c>
      <c r="M156" s="77" t="n">
        <f aca="false">IF(C156=0,3,IF(OR(D156=1,E156=1),2,IF(WEEKDAY(A156,2)&gt;5,1,0)))</f>
        <v>0</v>
      </c>
      <c r="N156" s="77" t="str">
        <f aca="false">IF(OR(I156="A",I156="G"),MAX(N$1:N155)+1,"")</f>
        <v/>
      </c>
    </row>
    <row r="157" customFormat="false" ht="15" hidden="false" customHeight="false" outlineLevel="0" collapsed="false">
      <c r="A157" s="75" t="n">
        <f aca="false">A156+1</f>
        <v>46451</v>
      </c>
      <c r="B157" s="76" t="n">
        <f aca="false">DATE(YEAR(A157),MONTH(A157),1)</f>
        <v>46447</v>
      </c>
      <c r="C157" s="77" t="n">
        <f aca="false">IF(AND(A157&gt;=Impostazioni!$B$4,A157&lt;=Impostazioni!$B$5),1,0)</f>
        <v>1</v>
      </c>
      <c r="D157" s="77" t="n">
        <f aca="false">IF(COUNTIF(Impostazioni!$A$27:$A$56,A157)&gt;0,1,0)</f>
        <v>0</v>
      </c>
      <c r="E157" s="77" t="n">
        <f aca="false">IF(COUNTIFS(Impostazioni!$A$16:$A$23,"&lt;="&amp;A157,Impostazioni!$B$16:$B$23,"&gt;="&amp;A157)&gt;0,1,0)</f>
        <v>0</v>
      </c>
      <c r="F157" s="77" t="n">
        <f aca="false">IF(AND(C157=1,D157=0,E157=0),1,0)</f>
        <v>1</v>
      </c>
      <c r="G157" s="77" t="n">
        <f aca="false">(YEAR(A157)-YEAR(Impostazioni!$B$11))*12+MONTH(A157)-MONTH(Impostazioni!$B$11)</f>
        <v>5</v>
      </c>
      <c r="H157" s="77" t="n">
        <f aca="false">INT((DAY(A157)-1+WEEKDAY(DATE(YEAR(A157),MONTH(A157),1),2)-1)/7)</f>
        <v>0</v>
      </c>
      <c r="I157" s="77" t="str">
        <f aca="false">IF(G157&gt;11,"",INDEX(Calendario!$A$14:$G$193,4+15*G157+2*H157,WEEKDAY(A157,2))&amp;"")</f>
        <v/>
      </c>
      <c r="J157" s="77" t="n">
        <f aca="false">IF(AND(F157=1,I157="A"),1,0)</f>
        <v>0</v>
      </c>
      <c r="K157" s="77" t="n">
        <f aca="false">IF(AND(F157=1,I157="G"),1,0)</f>
        <v>0</v>
      </c>
      <c r="L157" s="77" t="n">
        <f aca="false">IF(AND(F157=1,A157&gt;=Impostazioni!$B$8),1,0)</f>
        <v>1</v>
      </c>
      <c r="M157" s="77" t="n">
        <f aca="false">IF(C157=0,3,IF(OR(D157=1,E157=1),2,IF(WEEKDAY(A157,2)&gt;5,1,0)))</f>
        <v>0</v>
      </c>
      <c r="N157" s="77" t="str">
        <f aca="false">IF(OR(I157="A",I157="G"),MAX(N$1:N156)+1,"")</f>
        <v/>
      </c>
    </row>
    <row r="158" customFormat="false" ht="15" hidden="false" customHeight="false" outlineLevel="0" collapsed="false">
      <c r="A158" s="75" t="n">
        <f aca="false">A157+1</f>
        <v>46452</v>
      </c>
      <c r="B158" s="76" t="n">
        <f aca="false">DATE(YEAR(A158),MONTH(A158),1)</f>
        <v>46447</v>
      </c>
      <c r="C158" s="77" t="n">
        <f aca="false">IF(AND(A158&gt;=Impostazioni!$B$4,A158&lt;=Impostazioni!$B$5),1,0)</f>
        <v>1</v>
      </c>
      <c r="D158" s="77" t="n">
        <f aca="false">IF(COUNTIF(Impostazioni!$A$27:$A$56,A158)&gt;0,1,0)</f>
        <v>0</v>
      </c>
      <c r="E158" s="77" t="n">
        <f aca="false">IF(COUNTIFS(Impostazioni!$A$16:$A$23,"&lt;="&amp;A158,Impostazioni!$B$16:$B$23,"&gt;="&amp;A158)&gt;0,1,0)</f>
        <v>0</v>
      </c>
      <c r="F158" s="77" t="n">
        <f aca="false">IF(AND(C158=1,D158=0,E158=0),1,0)</f>
        <v>1</v>
      </c>
      <c r="G158" s="77" t="n">
        <f aca="false">(YEAR(A158)-YEAR(Impostazioni!$B$11))*12+MONTH(A158)-MONTH(Impostazioni!$B$11)</f>
        <v>5</v>
      </c>
      <c r="H158" s="77" t="n">
        <f aca="false">INT((DAY(A158)-1+WEEKDAY(DATE(YEAR(A158),MONTH(A158),1),2)-1)/7)</f>
        <v>0</v>
      </c>
      <c r="I158" s="77" t="str">
        <f aca="false">IF(G158&gt;11,"",INDEX(Calendario!$A$14:$G$193,4+15*G158+2*H158,WEEKDAY(A158,2))&amp;"")</f>
        <v/>
      </c>
      <c r="J158" s="77" t="n">
        <f aca="false">IF(AND(F158=1,I158="A"),1,0)</f>
        <v>0</v>
      </c>
      <c r="K158" s="77" t="n">
        <f aca="false">IF(AND(F158=1,I158="G"),1,0)</f>
        <v>0</v>
      </c>
      <c r="L158" s="77" t="n">
        <f aca="false">IF(AND(F158=1,A158&gt;=Impostazioni!$B$8),1,0)</f>
        <v>1</v>
      </c>
      <c r="M158" s="77" t="n">
        <f aca="false">IF(C158=0,3,IF(OR(D158=1,E158=1),2,IF(WEEKDAY(A158,2)&gt;5,1,0)))</f>
        <v>1</v>
      </c>
      <c r="N158" s="77" t="str">
        <f aca="false">IF(OR(I158="A",I158="G"),MAX(N$1:N157)+1,"")</f>
        <v/>
      </c>
    </row>
    <row r="159" customFormat="false" ht="15" hidden="false" customHeight="false" outlineLevel="0" collapsed="false">
      <c r="A159" s="75" t="n">
        <f aca="false">A158+1</f>
        <v>46453</v>
      </c>
      <c r="B159" s="76" t="n">
        <f aca="false">DATE(YEAR(A159),MONTH(A159),1)</f>
        <v>46447</v>
      </c>
      <c r="C159" s="77" t="n">
        <f aca="false">IF(AND(A159&gt;=Impostazioni!$B$4,A159&lt;=Impostazioni!$B$5),1,0)</f>
        <v>1</v>
      </c>
      <c r="D159" s="77" t="n">
        <f aca="false">IF(COUNTIF(Impostazioni!$A$27:$A$56,A159)&gt;0,1,0)</f>
        <v>0</v>
      </c>
      <c r="E159" s="77" t="n">
        <f aca="false">IF(COUNTIFS(Impostazioni!$A$16:$A$23,"&lt;="&amp;A159,Impostazioni!$B$16:$B$23,"&gt;="&amp;A159)&gt;0,1,0)</f>
        <v>0</v>
      </c>
      <c r="F159" s="77" t="n">
        <f aca="false">IF(AND(C159=1,D159=0,E159=0),1,0)</f>
        <v>1</v>
      </c>
      <c r="G159" s="77" t="n">
        <f aca="false">(YEAR(A159)-YEAR(Impostazioni!$B$11))*12+MONTH(A159)-MONTH(Impostazioni!$B$11)</f>
        <v>5</v>
      </c>
      <c r="H159" s="77" t="n">
        <f aca="false">INT((DAY(A159)-1+WEEKDAY(DATE(YEAR(A159),MONTH(A159),1),2)-1)/7)</f>
        <v>0</v>
      </c>
      <c r="I159" s="77" t="str">
        <f aca="false">IF(G159&gt;11,"",INDEX(Calendario!$A$14:$G$193,4+15*G159+2*H159,WEEKDAY(A159,2))&amp;"")</f>
        <v/>
      </c>
      <c r="J159" s="77" t="n">
        <f aca="false">IF(AND(F159=1,I159="A"),1,0)</f>
        <v>0</v>
      </c>
      <c r="K159" s="77" t="n">
        <f aca="false">IF(AND(F159=1,I159="G"),1,0)</f>
        <v>0</v>
      </c>
      <c r="L159" s="77" t="n">
        <f aca="false">IF(AND(F159=1,A159&gt;=Impostazioni!$B$8),1,0)</f>
        <v>1</v>
      </c>
      <c r="M159" s="77" t="n">
        <f aca="false">IF(C159=0,3,IF(OR(D159=1,E159=1),2,IF(WEEKDAY(A159,2)&gt;5,1,0)))</f>
        <v>1</v>
      </c>
      <c r="N159" s="77" t="str">
        <f aca="false">IF(OR(I159="A",I159="G"),MAX(N$1:N158)+1,"")</f>
        <v/>
      </c>
    </row>
    <row r="160" customFormat="false" ht="15" hidden="false" customHeight="false" outlineLevel="0" collapsed="false">
      <c r="A160" s="75" t="n">
        <f aca="false">A159+1</f>
        <v>46454</v>
      </c>
      <c r="B160" s="76" t="n">
        <f aca="false">DATE(YEAR(A160),MONTH(A160),1)</f>
        <v>46447</v>
      </c>
      <c r="C160" s="77" t="n">
        <f aca="false">IF(AND(A160&gt;=Impostazioni!$B$4,A160&lt;=Impostazioni!$B$5),1,0)</f>
        <v>1</v>
      </c>
      <c r="D160" s="77" t="n">
        <f aca="false">IF(COUNTIF(Impostazioni!$A$27:$A$56,A160)&gt;0,1,0)</f>
        <v>0</v>
      </c>
      <c r="E160" s="77" t="n">
        <f aca="false">IF(COUNTIFS(Impostazioni!$A$16:$A$23,"&lt;="&amp;A160,Impostazioni!$B$16:$B$23,"&gt;="&amp;A160)&gt;0,1,0)</f>
        <v>0</v>
      </c>
      <c r="F160" s="77" t="n">
        <f aca="false">IF(AND(C160=1,D160=0,E160=0),1,0)</f>
        <v>1</v>
      </c>
      <c r="G160" s="77" t="n">
        <f aca="false">(YEAR(A160)-YEAR(Impostazioni!$B$11))*12+MONTH(A160)-MONTH(Impostazioni!$B$11)</f>
        <v>5</v>
      </c>
      <c r="H160" s="77" t="n">
        <f aca="false">INT((DAY(A160)-1+WEEKDAY(DATE(YEAR(A160),MONTH(A160),1),2)-1)/7)</f>
        <v>1</v>
      </c>
      <c r="I160" s="77" t="str">
        <f aca="false">IF(G160&gt;11,"",INDEX(Calendario!$A$14:$G$193,4+15*G160+2*H160,WEEKDAY(A160,2))&amp;"")</f>
        <v/>
      </c>
      <c r="J160" s="77" t="n">
        <f aca="false">IF(AND(F160=1,I160="A"),1,0)</f>
        <v>0</v>
      </c>
      <c r="K160" s="77" t="n">
        <f aca="false">IF(AND(F160=1,I160="G"),1,0)</f>
        <v>0</v>
      </c>
      <c r="L160" s="77" t="n">
        <f aca="false">IF(AND(F160=1,A160&gt;=Impostazioni!$B$8),1,0)</f>
        <v>1</v>
      </c>
      <c r="M160" s="77" t="n">
        <f aca="false">IF(C160=0,3,IF(OR(D160=1,E160=1),2,IF(WEEKDAY(A160,2)&gt;5,1,0)))</f>
        <v>0</v>
      </c>
      <c r="N160" s="77" t="str">
        <f aca="false">IF(OR(I160="A",I160="G"),MAX(N$1:N159)+1,"")</f>
        <v/>
      </c>
    </row>
    <row r="161" customFormat="false" ht="15" hidden="false" customHeight="false" outlineLevel="0" collapsed="false">
      <c r="A161" s="75" t="n">
        <f aca="false">A160+1</f>
        <v>46455</v>
      </c>
      <c r="B161" s="76" t="n">
        <f aca="false">DATE(YEAR(A161),MONTH(A161),1)</f>
        <v>46447</v>
      </c>
      <c r="C161" s="77" t="n">
        <f aca="false">IF(AND(A161&gt;=Impostazioni!$B$4,A161&lt;=Impostazioni!$B$5),1,0)</f>
        <v>1</v>
      </c>
      <c r="D161" s="77" t="n">
        <f aca="false">IF(COUNTIF(Impostazioni!$A$27:$A$56,A161)&gt;0,1,0)</f>
        <v>0</v>
      </c>
      <c r="E161" s="77" t="n">
        <f aca="false">IF(COUNTIFS(Impostazioni!$A$16:$A$23,"&lt;="&amp;A161,Impostazioni!$B$16:$B$23,"&gt;="&amp;A161)&gt;0,1,0)</f>
        <v>0</v>
      </c>
      <c r="F161" s="77" t="n">
        <f aca="false">IF(AND(C161=1,D161=0,E161=0),1,0)</f>
        <v>1</v>
      </c>
      <c r="G161" s="77" t="n">
        <f aca="false">(YEAR(A161)-YEAR(Impostazioni!$B$11))*12+MONTH(A161)-MONTH(Impostazioni!$B$11)</f>
        <v>5</v>
      </c>
      <c r="H161" s="77" t="n">
        <f aca="false">INT((DAY(A161)-1+WEEKDAY(DATE(YEAR(A161),MONTH(A161),1),2)-1)/7)</f>
        <v>1</v>
      </c>
      <c r="I161" s="77" t="str">
        <f aca="false">IF(G161&gt;11,"",INDEX(Calendario!$A$14:$G$193,4+15*G161+2*H161,WEEKDAY(A161,2))&amp;"")</f>
        <v/>
      </c>
      <c r="J161" s="77" t="n">
        <f aca="false">IF(AND(F161=1,I161="A"),1,0)</f>
        <v>0</v>
      </c>
      <c r="K161" s="77" t="n">
        <f aca="false">IF(AND(F161=1,I161="G"),1,0)</f>
        <v>0</v>
      </c>
      <c r="L161" s="77" t="n">
        <f aca="false">IF(AND(F161=1,A161&gt;=Impostazioni!$B$8),1,0)</f>
        <v>1</v>
      </c>
      <c r="M161" s="77" t="n">
        <f aca="false">IF(C161=0,3,IF(OR(D161=1,E161=1),2,IF(WEEKDAY(A161,2)&gt;5,1,0)))</f>
        <v>0</v>
      </c>
      <c r="N161" s="77" t="str">
        <f aca="false">IF(OR(I161="A",I161="G"),MAX(N$1:N160)+1,"")</f>
        <v/>
      </c>
    </row>
    <row r="162" customFormat="false" ht="15" hidden="false" customHeight="false" outlineLevel="0" collapsed="false">
      <c r="A162" s="75" t="n">
        <f aca="false">A161+1</f>
        <v>46456</v>
      </c>
      <c r="B162" s="76" t="n">
        <f aca="false">DATE(YEAR(A162),MONTH(A162),1)</f>
        <v>46447</v>
      </c>
      <c r="C162" s="77" t="n">
        <f aca="false">IF(AND(A162&gt;=Impostazioni!$B$4,A162&lt;=Impostazioni!$B$5),1,0)</f>
        <v>1</v>
      </c>
      <c r="D162" s="77" t="n">
        <f aca="false">IF(COUNTIF(Impostazioni!$A$27:$A$56,A162)&gt;0,1,0)</f>
        <v>0</v>
      </c>
      <c r="E162" s="77" t="n">
        <f aca="false">IF(COUNTIFS(Impostazioni!$A$16:$A$23,"&lt;="&amp;A162,Impostazioni!$B$16:$B$23,"&gt;="&amp;A162)&gt;0,1,0)</f>
        <v>0</v>
      </c>
      <c r="F162" s="77" t="n">
        <f aca="false">IF(AND(C162=1,D162=0,E162=0),1,0)</f>
        <v>1</v>
      </c>
      <c r="G162" s="77" t="n">
        <f aca="false">(YEAR(A162)-YEAR(Impostazioni!$B$11))*12+MONTH(A162)-MONTH(Impostazioni!$B$11)</f>
        <v>5</v>
      </c>
      <c r="H162" s="77" t="n">
        <f aca="false">INT((DAY(A162)-1+WEEKDAY(DATE(YEAR(A162),MONTH(A162),1),2)-1)/7)</f>
        <v>1</v>
      </c>
      <c r="I162" s="77" t="str">
        <f aca="false">IF(G162&gt;11,"",INDEX(Calendario!$A$14:$G$193,4+15*G162+2*H162,WEEKDAY(A162,2))&amp;"")</f>
        <v/>
      </c>
      <c r="J162" s="77" t="n">
        <f aca="false">IF(AND(F162=1,I162="A"),1,0)</f>
        <v>0</v>
      </c>
      <c r="K162" s="77" t="n">
        <f aca="false">IF(AND(F162=1,I162="G"),1,0)</f>
        <v>0</v>
      </c>
      <c r="L162" s="77" t="n">
        <f aca="false">IF(AND(F162=1,A162&gt;=Impostazioni!$B$8),1,0)</f>
        <v>1</v>
      </c>
      <c r="M162" s="77" t="n">
        <f aca="false">IF(C162=0,3,IF(OR(D162=1,E162=1),2,IF(WEEKDAY(A162,2)&gt;5,1,0)))</f>
        <v>0</v>
      </c>
      <c r="N162" s="77" t="str">
        <f aca="false">IF(OR(I162="A",I162="G"),MAX(N$1:N161)+1,"")</f>
        <v/>
      </c>
    </row>
    <row r="163" customFormat="false" ht="15" hidden="false" customHeight="false" outlineLevel="0" collapsed="false">
      <c r="A163" s="75" t="n">
        <f aca="false">A162+1</f>
        <v>46457</v>
      </c>
      <c r="B163" s="76" t="n">
        <f aca="false">DATE(YEAR(A163),MONTH(A163),1)</f>
        <v>46447</v>
      </c>
      <c r="C163" s="77" t="n">
        <f aca="false">IF(AND(A163&gt;=Impostazioni!$B$4,A163&lt;=Impostazioni!$B$5),1,0)</f>
        <v>1</v>
      </c>
      <c r="D163" s="77" t="n">
        <f aca="false">IF(COUNTIF(Impostazioni!$A$27:$A$56,A163)&gt;0,1,0)</f>
        <v>0</v>
      </c>
      <c r="E163" s="77" t="n">
        <f aca="false">IF(COUNTIFS(Impostazioni!$A$16:$A$23,"&lt;="&amp;A163,Impostazioni!$B$16:$B$23,"&gt;="&amp;A163)&gt;0,1,0)</f>
        <v>0</v>
      </c>
      <c r="F163" s="77" t="n">
        <f aca="false">IF(AND(C163=1,D163=0,E163=0),1,0)</f>
        <v>1</v>
      </c>
      <c r="G163" s="77" t="n">
        <f aca="false">(YEAR(A163)-YEAR(Impostazioni!$B$11))*12+MONTH(A163)-MONTH(Impostazioni!$B$11)</f>
        <v>5</v>
      </c>
      <c r="H163" s="77" t="n">
        <f aca="false">INT((DAY(A163)-1+WEEKDAY(DATE(YEAR(A163),MONTH(A163),1),2)-1)/7)</f>
        <v>1</v>
      </c>
      <c r="I163" s="77" t="str">
        <f aca="false">IF(G163&gt;11,"",INDEX(Calendario!$A$14:$G$193,4+15*G163+2*H163,WEEKDAY(A163,2))&amp;"")</f>
        <v/>
      </c>
      <c r="J163" s="77" t="n">
        <f aca="false">IF(AND(F163=1,I163="A"),1,0)</f>
        <v>0</v>
      </c>
      <c r="K163" s="77" t="n">
        <f aca="false">IF(AND(F163=1,I163="G"),1,0)</f>
        <v>0</v>
      </c>
      <c r="L163" s="77" t="n">
        <f aca="false">IF(AND(F163=1,A163&gt;=Impostazioni!$B$8),1,0)</f>
        <v>1</v>
      </c>
      <c r="M163" s="77" t="n">
        <f aca="false">IF(C163=0,3,IF(OR(D163=1,E163=1),2,IF(WEEKDAY(A163,2)&gt;5,1,0)))</f>
        <v>0</v>
      </c>
      <c r="N163" s="77" t="str">
        <f aca="false">IF(OR(I163="A",I163="G"),MAX(N$1:N162)+1,"")</f>
        <v/>
      </c>
    </row>
    <row r="164" customFormat="false" ht="15" hidden="false" customHeight="false" outlineLevel="0" collapsed="false">
      <c r="A164" s="75" t="n">
        <f aca="false">A163+1</f>
        <v>46458</v>
      </c>
      <c r="B164" s="76" t="n">
        <f aca="false">DATE(YEAR(A164),MONTH(A164),1)</f>
        <v>46447</v>
      </c>
      <c r="C164" s="77" t="n">
        <f aca="false">IF(AND(A164&gt;=Impostazioni!$B$4,A164&lt;=Impostazioni!$B$5),1,0)</f>
        <v>1</v>
      </c>
      <c r="D164" s="77" t="n">
        <f aca="false">IF(COUNTIF(Impostazioni!$A$27:$A$56,A164)&gt;0,1,0)</f>
        <v>0</v>
      </c>
      <c r="E164" s="77" t="n">
        <f aca="false">IF(COUNTIFS(Impostazioni!$A$16:$A$23,"&lt;="&amp;A164,Impostazioni!$B$16:$B$23,"&gt;="&amp;A164)&gt;0,1,0)</f>
        <v>0</v>
      </c>
      <c r="F164" s="77" t="n">
        <f aca="false">IF(AND(C164=1,D164=0,E164=0),1,0)</f>
        <v>1</v>
      </c>
      <c r="G164" s="77" t="n">
        <f aca="false">(YEAR(A164)-YEAR(Impostazioni!$B$11))*12+MONTH(A164)-MONTH(Impostazioni!$B$11)</f>
        <v>5</v>
      </c>
      <c r="H164" s="77" t="n">
        <f aca="false">INT((DAY(A164)-1+WEEKDAY(DATE(YEAR(A164),MONTH(A164),1),2)-1)/7)</f>
        <v>1</v>
      </c>
      <c r="I164" s="77" t="str">
        <f aca="false">IF(G164&gt;11,"",INDEX(Calendario!$A$14:$G$193,4+15*G164+2*H164,WEEKDAY(A164,2))&amp;"")</f>
        <v/>
      </c>
      <c r="J164" s="77" t="n">
        <f aca="false">IF(AND(F164=1,I164="A"),1,0)</f>
        <v>0</v>
      </c>
      <c r="K164" s="77" t="n">
        <f aca="false">IF(AND(F164=1,I164="G"),1,0)</f>
        <v>0</v>
      </c>
      <c r="L164" s="77" t="n">
        <f aca="false">IF(AND(F164=1,A164&gt;=Impostazioni!$B$8),1,0)</f>
        <v>1</v>
      </c>
      <c r="M164" s="77" t="n">
        <f aca="false">IF(C164=0,3,IF(OR(D164=1,E164=1),2,IF(WEEKDAY(A164,2)&gt;5,1,0)))</f>
        <v>0</v>
      </c>
      <c r="N164" s="77" t="str">
        <f aca="false">IF(OR(I164="A",I164="G"),MAX(N$1:N163)+1,"")</f>
        <v/>
      </c>
    </row>
    <row r="165" customFormat="false" ht="15" hidden="false" customHeight="false" outlineLevel="0" collapsed="false">
      <c r="A165" s="75" t="n">
        <f aca="false">A164+1</f>
        <v>46459</v>
      </c>
      <c r="B165" s="76" t="n">
        <f aca="false">DATE(YEAR(A165),MONTH(A165),1)</f>
        <v>46447</v>
      </c>
      <c r="C165" s="77" t="n">
        <f aca="false">IF(AND(A165&gt;=Impostazioni!$B$4,A165&lt;=Impostazioni!$B$5),1,0)</f>
        <v>1</v>
      </c>
      <c r="D165" s="77" t="n">
        <f aca="false">IF(COUNTIF(Impostazioni!$A$27:$A$56,A165)&gt;0,1,0)</f>
        <v>0</v>
      </c>
      <c r="E165" s="77" t="n">
        <f aca="false">IF(COUNTIFS(Impostazioni!$A$16:$A$23,"&lt;="&amp;A165,Impostazioni!$B$16:$B$23,"&gt;="&amp;A165)&gt;0,1,0)</f>
        <v>0</v>
      </c>
      <c r="F165" s="77" t="n">
        <f aca="false">IF(AND(C165=1,D165=0,E165=0),1,0)</f>
        <v>1</v>
      </c>
      <c r="G165" s="77" t="n">
        <f aca="false">(YEAR(A165)-YEAR(Impostazioni!$B$11))*12+MONTH(A165)-MONTH(Impostazioni!$B$11)</f>
        <v>5</v>
      </c>
      <c r="H165" s="77" t="n">
        <f aca="false">INT((DAY(A165)-1+WEEKDAY(DATE(YEAR(A165),MONTH(A165),1),2)-1)/7)</f>
        <v>1</v>
      </c>
      <c r="I165" s="77" t="str">
        <f aca="false">IF(G165&gt;11,"",INDEX(Calendario!$A$14:$G$193,4+15*G165+2*H165,WEEKDAY(A165,2))&amp;"")</f>
        <v/>
      </c>
      <c r="J165" s="77" t="n">
        <f aca="false">IF(AND(F165=1,I165="A"),1,0)</f>
        <v>0</v>
      </c>
      <c r="K165" s="77" t="n">
        <f aca="false">IF(AND(F165=1,I165="G"),1,0)</f>
        <v>0</v>
      </c>
      <c r="L165" s="77" t="n">
        <f aca="false">IF(AND(F165=1,A165&gt;=Impostazioni!$B$8),1,0)</f>
        <v>1</v>
      </c>
      <c r="M165" s="77" t="n">
        <f aca="false">IF(C165=0,3,IF(OR(D165=1,E165=1),2,IF(WEEKDAY(A165,2)&gt;5,1,0)))</f>
        <v>1</v>
      </c>
      <c r="N165" s="77" t="str">
        <f aca="false">IF(OR(I165="A",I165="G"),MAX(N$1:N164)+1,"")</f>
        <v/>
      </c>
    </row>
    <row r="166" customFormat="false" ht="15" hidden="false" customHeight="false" outlineLevel="0" collapsed="false">
      <c r="A166" s="75" t="n">
        <f aca="false">A165+1</f>
        <v>46460</v>
      </c>
      <c r="B166" s="76" t="n">
        <f aca="false">DATE(YEAR(A166),MONTH(A166),1)</f>
        <v>46447</v>
      </c>
      <c r="C166" s="77" t="n">
        <f aca="false">IF(AND(A166&gt;=Impostazioni!$B$4,A166&lt;=Impostazioni!$B$5),1,0)</f>
        <v>1</v>
      </c>
      <c r="D166" s="77" t="n">
        <f aca="false">IF(COUNTIF(Impostazioni!$A$27:$A$56,A166)&gt;0,1,0)</f>
        <v>0</v>
      </c>
      <c r="E166" s="77" t="n">
        <f aca="false">IF(COUNTIFS(Impostazioni!$A$16:$A$23,"&lt;="&amp;A166,Impostazioni!$B$16:$B$23,"&gt;="&amp;A166)&gt;0,1,0)</f>
        <v>0</v>
      </c>
      <c r="F166" s="77" t="n">
        <f aca="false">IF(AND(C166=1,D166=0,E166=0),1,0)</f>
        <v>1</v>
      </c>
      <c r="G166" s="77" t="n">
        <f aca="false">(YEAR(A166)-YEAR(Impostazioni!$B$11))*12+MONTH(A166)-MONTH(Impostazioni!$B$11)</f>
        <v>5</v>
      </c>
      <c r="H166" s="77" t="n">
        <f aca="false">INT((DAY(A166)-1+WEEKDAY(DATE(YEAR(A166),MONTH(A166),1),2)-1)/7)</f>
        <v>1</v>
      </c>
      <c r="I166" s="77" t="str">
        <f aca="false">IF(G166&gt;11,"",INDEX(Calendario!$A$14:$G$193,4+15*G166+2*H166,WEEKDAY(A166,2))&amp;"")</f>
        <v/>
      </c>
      <c r="J166" s="77" t="n">
        <f aca="false">IF(AND(F166=1,I166="A"),1,0)</f>
        <v>0</v>
      </c>
      <c r="K166" s="77" t="n">
        <f aca="false">IF(AND(F166=1,I166="G"),1,0)</f>
        <v>0</v>
      </c>
      <c r="L166" s="77" t="n">
        <f aca="false">IF(AND(F166=1,A166&gt;=Impostazioni!$B$8),1,0)</f>
        <v>1</v>
      </c>
      <c r="M166" s="77" t="n">
        <f aca="false">IF(C166=0,3,IF(OR(D166=1,E166=1),2,IF(WEEKDAY(A166,2)&gt;5,1,0)))</f>
        <v>1</v>
      </c>
      <c r="N166" s="77" t="str">
        <f aca="false">IF(OR(I166="A",I166="G"),MAX(N$1:N165)+1,"")</f>
        <v/>
      </c>
    </row>
    <row r="167" customFormat="false" ht="15" hidden="false" customHeight="false" outlineLevel="0" collapsed="false">
      <c r="A167" s="75" t="n">
        <f aca="false">A166+1</f>
        <v>46461</v>
      </c>
      <c r="B167" s="76" t="n">
        <f aca="false">DATE(YEAR(A167),MONTH(A167),1)</f>
        <v>46447</v>
      </c>
      <c r="C167" s="77" t="n">
        <f aca="false">IF(AND(A167&gt;=Impostazioni!$B$4,A167&lt;=Impostazioni!$B$5),1,0)</f>
        <v>1</v>
      </c>
      <c r="D167" s="77" t="n">
        <f aca="false">IF(COUNTIF(Impostazioni!$A$27:$A$56,A167)&gt;0,1,0)</f>
        <v>0</v>
      </c>
      <c r="E167" s="77" t="n">
        <f aca="false">IF(COUNTIFS(Impostazioni!$A$16:$A$23,"&lt;="&amp;A167,Impostazioni!$B$16:$B$23,"&gt;="&amp;A167)&gt;0,1,0)</f>
        <v>0</v>
      </c>
      <c r="F167" s="77" t="n">
        <f aca="false">IF(AND(C167=1,D167=0,E167=0),1,0)</f>
        <v>1</v>
      </c>
      <c r="G167" s="77" t="n">
        <f aca="false">(YEAR(A167)-YEAR(Impostazioni!$B$11))*12+MONTH(A167)-MONTH(Impostazioni!$B$11)</f>
        <v>5</v>
      </c>
      <c r="H167" s="77" t="n">
        <f aca="false">INT((DAY(A167)-1+WEEKDAY(DATE(YEAR(A167),MONTH(A167),1),2)-1)/7)</f>
        <v>2</v>
      </c>
      <c r="I167" s="77" t="str">
        <f aca="false">IF(G167&gt;11,"",INDEX(Calendario!$A$14:$G$193,4+15*G167+2*H167,WEEKDAY(A167,2))&amp;"")</f>
        <v/>
      </c>
      <c r="J167" s="77" t="n">
        <f aca="false">IF(AND(F167=1,I167="A"),1,0)</f>
        <v>0</v>
      </c>
      <c r="K167" s="77" t="n">
        <f aca="false">IF(AND(F167=1,I167="G"),1,0)</f>
        <v>0</v>
      </c>
      <c r="L167" s="77" t="n">
        <f aca="false">IF(AND(F167=1,A167&gt;=Impostazioni!$B$8),1,0)</f>
        <v>1</v>
      </c>
      <c r="M167" s="77" t="n">
        <f aca="false">IF(C167=0,3,IF(OR(D167=1,E167=1),2,IF(WEEKDAY(A167,2)&gt;5,1,0)))</f>
        <v>0</v>
      </c>
      <c r="N167" s="77" t="str">
        <f aca="false">IF(OR(I167="A",I167="G"),MAX(N$1:N166)+1,"")</f>
        <v/>
      </c>
    </row>
    <row r="168" customFormat="false" ht="15" hidden="false" customHeight="false" outlineLevel="0" collapsed="false">
      <c r="A168" s="75" t="n">
        <f aca="false">A167+1</f>
        <v>46462</v>
      </c>
      <c r="B168" s="76" t="n">
        <f aca="false">DATE(YEAR(A168),MONTH(A168),1)</f>
        <v>46447</v>
      </c>
      <c r="C168" s="77" t="n">
        <f aca="false">IF(AND(A168&gt;=Impostazioni!$B$4,A168&lt;=Impostazioni!$B$5),1,0)</f>
        <v>1</v>
      </c>
      <c r="D168" s="77" t="n">
        <f aca="false">IF(COUNTIF(Impostazioni!$A$27:$A$56,A168)&gt;0,1,0)</f>
        <v>0</v>
      </c>
      <c r="E168" s="77" t="n">
        <f aca="false">IF(COUNTIFS(Impostazioni!$A$16:$A$23,"&lt;="&amp;A168,Impostazioni!$B$16:$B$23,"&gt;="&amp;A168)&gt;0,1,0)</f>
        <v>0</v>
      </c>
      <c r="F168" s="77" t="n">
        <f aca="false">IF(AND(C168=1,D168=0,E168=0),1,0)</f>
        <v>1</v>
      </c>
      <c r="G168" s="77" t="n">
        <f aca="false">(YEAR(A168)-YEAR(Impostazioni!$B$11))*12+MONTH(A168)-MONTH(Impostazioni!$B$11)</f>
        <v>5</v>
      </c>
      <c r="H168" s="77" t="n">
        <f aca="false">INT((DAY(A168)-1+WEEKDAY(DATE(YEAR(A168),MONTH(A168),1),2)-1)/7)</f>
        <v>2</v>
      </c>
      <c r="I168" s="77" t="str">
        <f aca="false">IF(G168&gt;11,"",INDEX(Calendario!$A$14:$G$193,4+15*G168+2*H168,WEEKDAY(A168,2))&amp;"")</f>
        <v/>
      </c>
      <c r="J168" s="77" t="n">
        <f aca="false">IF(AND(F168=1,I168="A"),1,0)</f>
        <v>0</v>
      </c>
      <c r="K168" s="77" t="n">
        <f aca="false">IF(AND(F168=1,I168="G"),1,0)</f>
        <v>0</v>
      </c>
      <c r="L168" s="77" t="n">
        <f aca="false">IF(AND(F168=1,A168&gt;=Impostazioni!$B$8),1,0)</f>
        <v>1</v>
      </c>
      <c r="M168" s="77" t="n">
        <f aca="false">IF(C168=0,3,IF(OR(D168=1,E168=1),2,IF(WEEKDAY(A168,2)&gt;5,1,0)))</f>
        <v>0</v>
      </c>
      <c r="N168" s="77" t="str">
        <f aca="false">IF(OR(I168="A",I168="G"),MAX(N$1:N167)+1,"")</f>
        <v/>
      </c>
    </row>
    <row r="169" customFormat="false" ht="15" hidden="false" customHeight="false" outlineLevel="0" collapsed="false">
      <c r="A169" s="75" t="n">
        <f aca="false">A168+1</f>
        <v>46463</v>
      </c>
      <c r="B169" s="76" t="n">
        <f aca="false">DATE(YEAR(A169),MONTH(A169),1)</f>
        <v>46447</v>
      </c>
      <c r="C169" s="77" t="n">
        <f aca="false">IF(AND(A169&gt;=Impostazioni!$B$4,A169&lt;=Impostazioni!$B$5),1,0)</f>
        <v>1</v>
      </c>
      <c r="D169" s="77" t="n">
        <f aca="false">IF(COUNTIF(Impostazioni!$A$27:$A$56,A169)&gt;0,1,0)</f>
        <v>0</v>
      </c>
      <c r="E169" s="77" t="n">
        <f aca="false">IF(COUNTIFS(Impostazioni!$A$16:$A$23,"&lt;="&amp;A169,Impostazioni!$B$16:$B$23,"&gt;="&amp;A169)&gt;0,1,0)</f>
        <v>0</v>
      </c>
      <c r="F169" s="77" t="n">
        <f aca="false">IF(AND(C169=1,D169=0,E169=0),1,0)</f>
        <v>1</v>
      </c>
      <c r="G169" s="77" t="n">
        <f aca="false">(YEAR(A169)-YEAR(Impostazioni!$B$11))*12+MONTH(A169)-MONTH(Impostazioni!$B$11)</f>
        <v>5</v>
      </c>
      <c r="H169" s="77" t="n">
        <f aca="false">INT((DAY(A169)-1+WEEKDAY(DATE(YEAR(A169),MONTH(A169),1),2)-1)/7)</f>
        <v>2</v>
      </c>
      <c r="I169" s="77" t="str">
        <f aca="false">IF(G169&gt;11,"",INDEX(Calendario!$A$14:$G$193,4+15*G169+2*H169,WEEKDAY(A169,2))&amp;"")</f>
        <v/>
      </c>
      <c r="J169" s="77" t="n">
        <f aca="false">IF(AND(F169=1,I169="A"),1,0)</f>
        <v>0</v>
      </c>
      <c r="K169" s="77" t="n">
        <f aca="false">IF(AND(F169=1,I169="G"),1,0)</f>
        <v>0</v>
      </c>
      <c r="L169" s="77" t="n">
        <f aca="false">IF(AND(F169=1,A169&gt;=Impostazioni!$B$8),1,0)</f>
        <v>1</v>
      </c>
      <c r="M169" s="77" t="n">
        <f aca="false">IF(C169=0,3,IF(OR(D169=1,E169=1),2,IF(WEEKDAY(A169,2)&gt;5,1,0)))</f>
        <v>0</v>
      </c>
      <c r="N169" s="77" t="str">
        <f aca="false">IF(OR(I169="A",I169="G"),MAX(N$1:N168)+1,"")</f>
        <v/>
      </c>
    </row>
    <row r="170" customFormat="false" ht="15" hidden="false" customHeight="false" outlineLevel="0" collapsed="false">
      <c r="A170" s="75" t="n">
        <f aca="false">A169+1</f>
        <v>46464</v>
      </c>
      <c r="B170" s="76" t="n">
        <f aca="false">DATE(YEAR(A170),MONTH(A170),1)</f>
        <v>46447</v>
      </c>
      <c r="C170" s="77" t="n">
        <f aca="false">IF(AND(A170&gt;=Impostazioni!$B$4,A170&lt;=Impostazioni!$B$5),1,0)</f>
        <v>1</v>
      </c>
      <c r="D170" s="77" t="n">
        <f aca="false">IF(COUNTIF(Impostazioni!$A$27:$A$56,A170)&gt;0,1,0)</f>
        <v>0</v>
      </c>
      <c r="E170" s="77" t="n">
        <f aca="false">IF(COUNTIFS(Impostazioni!$A$16:$A$23,"&lt;="&amp;A170,Impostazioni!$B$16:$B$23,"&gt;="&amp;A170)&gt;0,1,0)</f>
        <v>0</v>
      </c>
      <c r="F170" s="77" t="n">
        <f aca="false">IF(AND(C170=1,D170=0,E170=0),1,0)</f>
        <v>1</v>
      </c>
      <c r="G170" s="77" t="n">
        <f aca="false">(YEAR(A170)-YEAR(Impostazioni!$B$11))*12+MONTH(A170)-MONTH(Impostazioni!$B$11)</f>
        <v>5</v>
      </c>
      <c r="H170" s="77" t="n">
        <f aca="false">INT((DAY(A170)-1+WEEKDAY(DATE(YEAR(A170),MONTH(A170),1),2)-1)/7)</f>
        <v>2</v>
      </c>
      <c r="I170" s="77" t="str">
        <f aca="false">IF(G170&gt;11,"",INDEX(Calendario!$A$14:$G$193,4+15*G170+2*H170,WEEKDAY(A170,2))&amp;"")</f>
        <v/>
      </c>
      <c r="J170" s="77" t="n">
        <f aca="false">IF(AND(F170=1,I170="A"),1,0)</f>
        <v>0</v>
      </c>
      <c r="K170" s="77" t="n">
        <f aca="false">IF(AND(F170=1,I170="G"),1,0)</f>
        <v>0</v>
      </c>
      <c r="L170" s="77" t="n">
        <f aca="false">IF(AND(F170=1,A170&gt;=Impostazioni!$B$8),1,0)</f>
        <v>1</v>
      </c>
      <c r="M170" s="77" t="n">
        <f aca="false">IF(C170=0,3,IF(OR(D170=1,E170=1),2,IF(WEEKDAY(A170,2)&gt;5,1,0)))</f>
        <v>0</v>
      </c>
      <c r="N170" s="77" t="str">
        <f aca="false">IF(OR(I170="A",I170="G"),MAX(N$1:N169)+1,"")</f>
        <v/>
      </c>
    </row>
    <row r="171" customFormat="false" ht="15" hidden="false" customHeight="false" outlineLevel="0" collapsed="false">
      <c r="A171" s="75" t="n">
        <f aca="false">A170+1</f>
        <v>46465</v>
      </c>
      <c r="B171" s="76" t="n">
        <f aca="false">DATE(YEAR(A171),MONTH(A171),1)</f>
        <v>46447</v>
      </c>
      <c r="C171" s="77" t="n">
        <f aca="false">IF(AND(A171&gt;=Impostazioni!$B$4,A171&lt;=Impostazioni!$B$5),1,0)</f>
        <v>1</v>
      </c>
      <c r="D171" s="77" t="n">
        <f aca="false">IF(COUNTIF(Impostazioni!$A$27:$A$56,A171)&gt;0,1,0)</f>
        <v>0</v>
      </c>
      <c r="E171" s="77" t="n">
        <f aca="false">IF(COUNTIFS(Impostazioni!$A$16:$A$23,"&lt;="&amp;A171,Impostazioni!$B$16:$B$23,"&gt;="&amp;A171)&gt;0,1,0)</f>
        <v>0</v>
      </c>
      <c r="F171" s="77" t="n">
        <f aca="false">IF(AND(C171=1,D171=0,E171=0),1,0)</f>
        <v>1</v>
      </c>
      <c r="G171" s="77" t="n">
        <f aca="false">(YEAR(A171)-YEAR(Impostazioni!$B$11))*12+MONTH(A171)-MONTH(Impostazioni!$B$11)</f>
        <v>5</v>
      </c>
      <c r="H171" s="77" t="n">
        <f aca="false">INT((DAY(A171)-1+WEEKDAY(DATE(YEAR(A171),MONTH(A171),1),2)-1)/7)</f>
        <v>2</v>
      </c>
      <c r="I171" s="77" t="str">
        <f aca="false">IF(G171&gt;11,"",INDEX(Calendario!$A$14:$G$193,4+15*G171+2*H171,WEEKDAY(A171,2))&amp;"")</f>
        <v/>
      </c>
      <c r="J171" s="77" t="n">
        <f aca="false">IF(AND(F171=1,I171="A"),1,0)</f>
        <v>0</v>
      </c>
      <c r="K171" s="77" t="n">
        <f aca="false">IF(AND(F171=1,I171="G"),1,0)</f>
        <v>0</v>
      </c>
      <c r="L171" s="77" t="n">
        <f aca="false">IF(AND(F171=1,A171&gt;=Impostazioni!$B$8),1,0)</f>
        <v>1</v>
      </c>
      <c r="M171" s="77" t="n">
        <f aca="false">IF(C171=0,3,IF(OR(D171=1,E171=1),2,IF(WEEKDAY(A171,2)&gt;5,1,0)))</f>
        <v>0</v>
      </c>
      <c r="N171" s="77" t="str">
        <f aca="false">IF(OR(I171="A",I171="G"),MAX(N$1:N170)+1,"")</f>
        <v/>
      </c>
    </row>
    <row r="172" customFormat="false" ht="15" hidden="false" customHeight="false" outlineLevel="0" collapsed="false">
      <c r="A172" s="75" t="n">
        <f aca="false">A171+1</f>
        <v>46466</v>
      </c>
      <c r="B172" s="76" t="n">
        <f aca="false">DATE(YEAR(A172),MONTH(A172),1)</f>
        <v>46447</v>
      </c>
      <c r="C172" s="77" t="n">
        <f aca="false">IF(AND(A172&gt;=Impostazioni!$B$4,A172&lt;=Impostazioni!$B$5),1,0)</f>
        <v>1</v>
      </c>
      <c r="D172" s="77" t="n">
        <f aca="false">IF(COUNTIF(Impostazioni!$A$27:$A$56,A172)&gt;0,1,0)</f>
        <v>0</v>
      </c>
      <c r="E172" s="77" t="n">
        <f aca="false">IF(COUNTIFS(Impostazioni!$A$16:$A$23,"&lt;="&amp;A172,Impostazioni!$B$16:$B$23,"&gt;="&amp;A172)&gt;0,1,0)</f>
        <v>0</v>
      </c>
      <c r="F172" s="77" t="n">
        <f aca="false">IF(AND(C172=1,D172=0,E172=0),1,0)</f>
        <v>1</v>
      </c>
      <c r="G172" s="77" t="n">
        <f aca="false">(YEAR(A172)-YEAR(Impostazioni!$B$11))*12+MONTH(A172)-MONTH(Impostazioni!$B$11)</f>
        <v>5</v>
      </c>
      <c r="H172" s="77" t="n">
        <f aca="false">INT((DAY(A172)-1+WEEKDAY(DATE(YEAR(A172),MONTH(A172),1),2)-1)/7)</f>
        <v>2</v>
      </c>
      <c r="I172" s="77" t="str">
        <f aca="false">IF(G172&gt;11,"",INDEX(Calendario!$A$14:$G$193,4+15*G172+2*H172,WEEKDAY(A172,2))&amp;"")</f>
        <v/>
      </c>
      <c r="J172" s="77" t="n">
        <f aca="false">IF(AND(F172=1,I172="A"),1,0)</f>
        <v>0</v>
      </c>
      <c r="K172" s="77" t="n">
        <f aca="false">IF(AND(F172=1,I172="G"),1,0)</f>
        <v>0</v>
      </c>
      <c r="L172" s="77" t="n">
        <f aca="false">IF(AND(F172=1,A172&gt;=Impostazioni!$B$8),1,0)</f>
        <v>1</v>
      </c>
      <c r="M172" s="77" t="n">
        <f aca="false">IF(C172=0,3,IF(OR(D172=1,E172=1),2,IF(WEEKDAY(A172,2)&gt;5,1,0)))</f>
        <v>1</v>
      </c>
      <c r="N172" s="77" t="str">
        <f aca="false">IF(OR(I172="A",I172="G"),MAX(N$1:N171)+1,"")</f>
        <v/>
      </c>
    </row>
    <row r="173" customFormat="false" ht="15" hidden="false" customHeight="false" outlineLevel="0" collapsed="false">
      <c r="A173" s="75" t="n">
        <f aca="false">A172+1</f>
        <v>46467</v>
      </c>
      <c r="B173" s="76" t="n">
        <f aca="false">DATE(YEAR(A173),MONTH(A173),1)</f>
        <v>46447</v>
      </c>
      <c r="C173" s="77" t="n">
        <f aca="false">IF(AND(A173&gt;=Impostazioni!$B$4,A173&lt;=Impostazioni!$B$5),1,0)</f>
        <v>1</v>
      </c>
      <c r="D173" s="77" t="n">
        <f aca="false">IF(COUNTIF(Impostazioni!$A$27:$A$56,A173)&gt;0,1,0)</f>
        <v>0</v>
      </c>
      <c r="E173" s="77" t="n">
        <f aca="false">IF(COUNTIFS(Impostazioni!$A$16:$A$23,"&lt;="&amp;A173,Impostazioni!$B$16:$B$23,"&gt;="&amp;A173)&gt;0,1,0)</f>
        <v>0</v>
      </c>
      <c r="F173" s="77" t="n">
        <f aca="false">IF(AND(C173=1,D173=0,E173=0),1,0)</f>
        <v>1</v>
      </c>
      <c r="G173" s="77" t="n">
        <f aca="false">(YEAR(A173)-YEAR(Impostazioni!$B$11))*12+MONTH(A173)-MONTH(Impostazioni!$B$11)</f>
        <v>5</v>
      </c>
      <c r="H173" s="77" t="n">
        <f aca="false">INT((DAY(A173)-1+WEEKDAY(DATE(YEAR(A173),MONTH(A173),1),2)-1)/7)</f>
        <v>2</v>
      </c>
      <c r="I173" s="77" t="str">
        <f aca="false">IF(G173&gt;11,"",INDEX(Calendario!$A$14:$G$193,4+15*G173+2*H173,WEEKDAY(A173,2))&amp;"")</f>
        <v/>
      </c>
      <c r="J173" s="77" t="n">
        <f aca="false">IF(AND(F173=1,I173="A"),1,0)</f>
        <v>0</v>
      </c>
      <c r="K173" s="77" t="n">
        <f aca="false">IF(AND(F173=1,I173="G"),1,0)</f>
        <v>0</v>
      </c>
      <c r="L173" s="77" t="n">
        <f aca="false">IF(AND(F173=1,A173&gt;=Impostazioni!$B$8),1,0)</f>
        <v>1</v>
      </c>
      <c r="M173" s="77" t="n">
        <f aca="false">IF(C173=0,3,IF(OR(D173=1,E173=1),2,IF(WEEKDAY(A173,2)&gt;5,1,0)))</f>
        <v>1</v>
      </c>
      <c r="N173" s="77" t="str">
        <f aca="false">IF(OR(I173="A",I173="G"),MAX(N$1:N172)+1,"")</f>
        <v/>
      </c>
    </row>
    <row r="174" customFormat="false" ht="15" hidden="false" customHeight="false" outlineLevel="0" collapsed="false">
      <c r="A174" s="75" t="n">
        <f aca="false">A173+1</f>
        <v>46468</v>
      </c>
      <c r="B174" s="76" t="n">
        <f aca="false">DATE(YEAR(A174),MONTH(A174),1)</f>
        <v>46447</v>
      </c>
      <c r="C174" s="77" t="n">
        <f aca="false">IF(AND(A174&gt;=Impostazioni!$B$4,A174&lt;=Impostazioni!$B$5),1,0)</f>
        <v>1</v>
      </c>
      <c r="D174" s="77" t="n">
        <f aca="false">IF(COUNTIF(Impostazioni!$A$27:$A$56,A174)&gt;0,1,0)</f>
        <v>0</v>
      </c>
      <c r="E174" s="77" t="n">
        <f aca="false">IF(COUNTIFS(Impostazioni!$A$16:$A$23,"&lt;="&amp;A174,Impostazioni!$B$16:$B$23,"&gt;="&amp;A174)&gt;0,1,0)</f>
        <v>0</v>
      </c>
      <c r="F174" s="77" t="n">
        <f aca="false">IF(AND(C174=1,D174=0,E174=0),1,0)</f>
        <v>1</v>
      </c>
      <c r="G174" s="77" t="n">
        <f aca="false">(YEAR(A174)-YEAR(Impostazioni!$B$11))*12+MONTH(A174)-MONTH(Impostazioni!$B$11)</f>
        <v>5</v>
      </c>
      <c r="H174" s="77" t="n">
        <f aca="false">INT((DAY(A174)-1+WEEKDAY(DATE(YEAR(A174),MONTH(A174),1),2)-1)/7)</f>
        <v>3</v>
      </c>
      <c r="I174" s="77" t="str">
        <f aca="false">IF(G174&gt;11,"",INDEX(Calendario!$A$14:$G$193,4+15*G174+2*H174,WEEKDAY(A174,2))&amp;"")</f>
        <v/>
      </c>
      <c r="J174" s="77" t="n">
        <f aca="false">IF(AND(F174=1,I174="A"),1,0)</f>
        <v>0</v>
      </c>
      <c r="K174" s="77" t="n">
        <f aca="false">IF(AND(F174=1,I174="G"),1,0)</f>
        <v>0</v>
      </c>
      <c r="L174" s="77" t="n">
        <f aca="false">IF(AND(F174=1,A174&gt;=Impostazioni!$B$8),1,0)</f>
        <v>1</v>
      </c>
      <c r="M174" s="77" t="n">
        <f aca="false">IF(C174=0,3,IF(OR(D174=1,E174=1),2,IF(WEEKDAY(A174,2)&gt;5,1,0)))</f>
        <v>0</v>
      </c>
      <c r="N174" s="77" t="str">
        <f aca="false">IF(OR(I174="A",I174="G"),MAX(N$1:N173)+1,"")</f>
        <v/>
      </c>
    </row>
    <row r="175" customFormat="false" ht="15" hidden="false" customHeight="false" outlineLevel="0" collapsed="false">
      <c r="A175" s="75" t="n">
        <f aca="false">A174+1</f>
        <v>46469</v>
      </c>
      <c r="B175" s="76" t="n">
        <f aca="false">DATE(YEAR(A175),MONTH(A175),1)</f>
        <v>46447</v>
      </c>
      <c r="C175" s="77" t="n">
        <f aca="false">IF(AND(A175&gt;=Impostazioni!$B$4,A175&lt;=Impostazioni!$B$5),1,0)</f>
        <v>1</v>
      </c>
      <c r="D175" s="77" t="n">
        <f aca="false">IF(COUNTIF(Impostazioni!$A$27:$A$56,A175)&gt;0,1,0)</f>
        <v>0</v>
      </c>
      <c r="E175" s="77" t="n">
        <f aca="false">IF(COUNTIFS(Impostazioni!$A$16:$A$23,"&lt;="&amp;A175,Impostazioni!$B$16:$B$23,"&gt;="&amp;A175)&gt;0,1,0)</f>
        <v>0</v>
      </c>
      <c r="F175" s="77" t="n">
        <f aca="false">IF(AND(C175=1,D175=0,E175=0),1,0)</f>
        <v>1</v>
      </c>
      <c r="G175" s="77" t="n">
        <f aca="false">(YEAR(A175)-YEAR(Impostazioni!$B$11))*12+MONTH(A175)-MONTH(Impostazioni!$B$11)</f>
        <v>5</v>
      </c>
      <c r="H175" s="77" t="n">
        <f aca="false">INT((DAY(A175)-1+WEEKDAY(DATE(YEAR(A175),MONTH(A175),1),2)-1)/7)</f>
        <v>3</v>
      </c>
      <c r="I175" s="77" t="str">
        <f aca="false">IF(G175&gt;11,"",INDEX(Calendario!$A$14:$G$193,4+15*G175+2*H175,WEEKDAY(A175,2))&amp;"")</f>
        <v/>
      </c>
      <c r="J175" s="77" t="n">
        <f aca="false">IF(AND(F175=1,I175="A"),1,0)</f>
        <v>0</v>
      </c>
      <c r="K175" s="77" t="n">
        <f aca="false">IF(AND(F175=1,I175="G"),1,0)</f>
        <v>0</v>
      </c>
      <c r="L175" s="77" t="n">
        <f aca="false">IF(AND(F175=1,A175&gt;=Impostazioni!$B$8),1,0)</f>
        <v>1</v>
      </c>
      <c r="M175" s="77" t="n">
        <f aca="false">IF(C175=0,3,IF(OR(D175=1,E175=1),2,IF(WEEKDAY(A175,2)&gt;5,1,0)))</f>
        <v>0</v>
      </c>
      <c r="N175" s="77" t="str">
        <f aca="false">IF(OR(I175="A",I175="G"),MAX(N$1:N174)+1,"")</f>
        <v/>
      </c>
    </row>
    <row r="176" customFormat="false" ht="15" hidden="false" customHeight="false" outlineLevel="0" collapsed="false">
      <c r="A176" s="75" t="n">
        <f aca="false">A175+1</f>
        <v>46470</v>
      </c>
      <c r="B176" s="76" t="n">
        <f aca="false">DATE(YEAR(A176),MONTH(A176),1)</f>
        <v>46447</v>
      </c>
      <c r="C176" s="77" t="n">
        <f aca="false">IF(AND(A176&gt;=Impostazioni!$B$4,A176&lt;=Impostazioni!$B$5),1,0)</f>
        <v>1</v>
      </c>
      <c r="D176" s="77" t="n">
        <f aca="false">IF(COUNTIF(Impostazioni!$A$27:$A$56,A176)&gt;0,1,0)</f>
        <v>0</v>
      </c>
      <c r="E176" s="77" t="n">
        <f aca="false">IF(COUNTIFS(Impostazioni!$A$16:$A$23,"&lt;="&amp;A176,Impostazioni!$B$16:$B$23,"&gt;="&amp;A176)&gt;0,1,0)</f>
        <v>0</v>
      </c>
      <c r="F176" s="77" t="n">
        <f aca="false">IF(AND(C176=1,D176=0,E176=0),1,0)</f>
        <v>1</v>
      </c>
      <c r="G176" s="77" t="n">
        <f aca="false">(YEAR(A176)-YEAR(Impostazioni!$B$11))*12+MONTH(A176)-MONTH(Impostazioni!$B$11)</f>
        <v>5</v>
      </c>
      <c r="H176" s="77" t="n">
        <f aca="false">INT((DAY(A176)-1+WEEKDAY(DATE(YEAR(A176),MONTH(A176),1),2)-1)/7)</f>
        <v>3</v>
      </c>
      <c r="I176" s="77" t="str">
        <f aca="false">IF(G176&gt;11,"",INDEX(Calendario!$A$14:$G$193,4+15*G176+2*H176,WEEKDAY(A176,2))&amp;"")</f>
        <v/>
      </c>
      <c r="J176" s="77" t="n">
        <f aca="false">IF(AND(F176=1,I176="A"),1,0)</f>
        <v>0</v>
      </c>
      <c r="K176" s="77" t="n">
        <f aca="false">IF(AND(F176=1,I176="G"),1,0)</f>
        <v>0</v>
      </c>
      <c r="L176" s="77" t="n">
        <f aca="false">IF(AND(F176=1,A176&gt;=Impostazioni!$B$8),1,0)</f>
        <v>1</v>
      </c>
      <c r="M176" s="77" t="n">
        <f aca="false">IF(C176=0,3,IF(OR(D176=1,E176=1),2,IF(WEEKDAY(A176,2)&gt;5,1,0)))</f>
        <v>0</v>
      </c>
      <c r="N176" s="77" t="str">
        <f aca="false">IF(OR(I176="A",I176="G"),MAX(N$1:N175)+1,"")</f>
        <v/>
      </c>
    </row>
    <row r="177" customFormat="false" ht="15" hidden="false" customHeight="false" outlineLevel="0" collapsed="false">
      <c r="A177" s="75" t="n">
        <f aca="false">A176+1</f>
        <v>46471</v>
      </c>
      <c r="B177" s="76" t="n">
        <f aca="false">DATE(YEAR(A177),MONTH(A177),1)</f>
        <v>46447</v>
      </c>
      <c r="C177" s="77" t="n">
        <f aca="false">IF(AND(A177&gt;=Impostazioni!$B$4,A177&lt;=Impostazioni!$B$5),1,0)</f>
        <v>1</v>
      </c>
      <c r="D177" s="77" t="n">
        <f aca="false">IF(COUNTIF(Impostazioni!$A$27:$A$56,A177)&gt;0,1,0)</f>
        <v>0</v>
      </c>
      <c r="E177" s="77" t="n">
        <f aca="false">IF(COUNTIFS(Impostazioni!$A$16:$A$23,"&lt;="&amp;A177,Impostazioni!$B$16:$B$23,"&gt;="&amp;A177)&gt;0,1,0)</f>
        <v>0</v>
      </c>
      <c r="F177" s="77" t="n">
        <f aca="false">IF(AND(C177=1,D177=0,E177=0),1,0)</f>
        <v>1</v>
      </c>
      <c r="G177" s="77" t="n">
        <f aca="false">(YEAR(A177)-YEAR(Impostazioni!$B$11))*12+MONTH(A177)-MONTH(Impostazioni!$B$11)</f>
        <v>5</v>
      </c>
      <c r="H177" s="77" t="n">
        <f aca="false">INT((DAY(A177)-1+WEEKDAY(DATE(YEAR(A177),MONTH(A177),1),2)-1)/7)</f>
        <v>3</v>
      </c>
      <c r="I177" s="77" t="str">
        <f aca="false">IF(G177&gt;11,"",INDEX(Calendario!$A$14:$G$193,4+15*G177+2*H177,WEEKDAY(A177,2))&amp;"")</f>
        <v/>
      </c>
      <c r="J177" s="77" t="n">
        <f aca="false">IF(AND(F177=1,I177="A"),1,0)</f>
        <v>0</v>
      </c>
      <c r="K177" s="77" t="n">
        <f aca="false">IF(AND(F177=1,I177="G"),1,0)</f>
        <v>0</v>
      </c>
      <c r="L177" s="77" t="n">
        <f aca="false">IF(AND(F177=1,A177&gt;=Impostazioni!$B$8),1,0)</f>
        <v>1</v>
      </c>
      <c r="M177" s="77" t="n">
        <f aca="false">IF(C177=0,3,IF(OR(D177=1,E177=1),2,IF(WEEKDAY(A177,2)&gt;5,1,0)))</f>
        <v>0</v>
      </c>
      <c r="N177" s="77" t="str">
        <f aca="false">IF(OR(I177="A",I177="G"),MAX(N$1:N176)+1,"")</f>
        <v/>
      </c>
    </row>
    <row r="178" customFormat="false" ht="15" hidden="false" customHeight="false" outlineLevel="0" collapsed="false">
      <c r="A178" s="75" t="n">
        <f aca="false">A177+1</f>
        <v>46472</v>
      </c>
      <c r="B178" s="76" t="n">
        <f aca="false">DATE(YEAR(A178),MONTH(A178),1)</f>
        <v>46447</v>
      </c>
      <c r="C178" s="77" t="n">
        <f aca="false">IF(AND(A178&gt;=Impostazioni!$B$4,A178&lt;=Impostazioni!$B$5),1,0)</f>
        <v>1</v>
      </c>
      <c r="D178" s="77" t="n">
        <f aca="false">IF(COUNTIF(Impostazioni!$A$27:$A$56,A178)&gt;0,1,0)</f>
        <v>0</v>
      </c>
      <c r="E178" s="77" t="n">
        <f aca="false">IF(COUNTIFS(Impostazioni!$A$16:$A$23,"&lt;="&amp;A178,Impostazioni!$B$16:$B$23,"&gt;="&amp;A178)&gt;0,1,0)</f>
        <v>0</v>
      </c>
      <c r="F178" s="77" t="n">
        <f aca="false">IF(AND(C178=1,D178=0,E178=0),1,0)</f>
        <v>1</v>
      </c>
      <c r="G178" s="77" t="n">
        <f aca="false">(YEAR(A178)-YEAR(Impostazioni!$B$11))*12+MONTH(A178)-MONTH(Impostazioni!$B$11)</f>
        <v>5</v>
      </c>
      <c r="H178" s="77" t="n">
        <f aca="false">INT((DAY(A178)-1+WEEKDAY(DATE(YEAR(A178),MONTH(A178),1),2)-1)/7)</f>
        <v>3</v>
      </c>
      <c r="I178" s="77" t="str">
        <f aca="false">IF(G178&gt;11,"",INDEX(Calendario!$A$14:$G$193,4+15*G178+2*H178,WEEKDAY(A178,2))&amp;"")</f>
        <v/>
      </c>
      <c r="J178" s="77" t="n">
        <f aca="false">IF(AND(F178=1,I178="A"),1,0)</f>
        <v>0</v>
      </c>
      <c r="K178" s="77" t="n">
        <f aca="false">IF(AND(F178=1,I178="G"),1,0)</f>
        <v>0</v>
      </c>
      <c r="L178" s="77" t="n">
        <f aca="false">IF(AND(F178=1,A178&gt;=Impostazioni!$B$8),1,0)</f>
        <v>1</v>
      </c>
      <c r="M178" s="77" t="n">
        <f aca="false">IF(C178=0,3,IF(OR(D178=1,E178=1),2,IF(WEEKDAY(A178,2)&gt;5,1,0)))</f>
        <v>0</v>
      </c>
      <c r="N178" s="77" t="str">
        <f aca="false">IF(OR(I178="A",I178="G"),MAX(N$1:N177)+1,"")</f>
        <v/>
      </c>
    </row>
    <row r="179" customFormat="false" ht="15" hidden="false" customHeight="false" outlineLevel="0" collapsed="false">
      <c r="A179" s="75" t="n">
        <f aca="false">A178+1</f>
        <v>46473</v>
      </c>
      <c r="B179" s="76" t="n">
        <f aca="false">DATE(YEAR(A179),MONTH(A179),1)</f>
        <v>46447</v>
      </c>
      <c r="C179" s="77" t="n">
        <f aca="false">IF(AND(A179&gt;=Impostazioni!$B$4,A179&lt;=Impostazioni!$B$5),1,0)</f>
        <v>1</v>
      </c>
      <c r="D179" s="77" t="n">
        <f aca="false">IF(COUNTIF(Impostazioni!$A$27:$A$56,A179)&gt;0,1,0)</f>
        <v>0</v>
      </c>
      <c r="E179" s="77" t="n">
        <f aca="false">IF(COUNTIFS(Impostazioni!$A$16:$A$23,"&lt;="&amp;A179,Impostazioni!$B$16:$B$23,"&gt;="&amp;A179)&gt;0,1,0)</f>
        <v>0</v>
      </c>
      <c r="F179" s="77" t="n">
        <f aca="false">IF(AND(C179=1,D179=0,E179=0),1,0)</f>
        <v>1</v>
      </c>
      <c r="G179" s="77" t="n">
        <f aca="false">(YEAR(A179)-YEAR(Impostazioni!$B$11))*12+MONTH(A179)-MONTH(Impostazioni!$B$11)</f>
        <v>5</v>
      </c>
      <c r="H179" s="77" t="n">
        <f aca="false">INT((DAY(A179)-1+WEEKDAY(DATE(YEAR(A179),MONTH(A179),1),2)-1)/7)</f>
        <v>3</v>
      </c>
      <c r="I179" s="77" t="str">
        <f aca="false">IF(G179&gt;11,"",INDEX(Calendario!$A$14:$G$193,4+15*G179+2*H179,WEEKDAY(A179,2))&amp;"")</f>
        <v/>
      </c>
      <c r="J179" s="77" t="n">
        <f aca="false">IF(AND(F179=1,I179="A"),1,0)</f>
        <v>0</v>
      </c>
      <c r="K179" s="77" t="n">
        <f aca="false">IF(AND(F179=1,I179="G"),1,0)</f>
        <v>0</v>
      </c>
      <c r="L179" s="77" t="n">
        <f aca="false">IF(AND(F179=1,A179&gt;=Impostazioni!$B$8),1,0)</f>
        <v>1</v>
      </c>
      <c r="M179" s="77" t="n">
        <f aca="false">IF(C179=0,3,IF(OR(D179=1,E179=1),2,IF(WEEKDAY(A179,2)&gt;5,1,0)))</f>
        <v>1</v>
      </c>
      <c r="N179" s="77" t="str">
        <f aca="false">IF(OR(I179="A",I179="G"),MAX(N$1:N178)+1,"")</f>
        <v/>
      </c>
    </row>
    <row r="180" customFormat="false" ht="15" hidden="false" customHeight="false" outlineLevel="0" collapsed="false">
      <c r="A180" s="75" t="n">
        <f aca="false">A179+1</f>
        <v>46474</v>
      </c>
      <c r="B180" s="76" t="n">
        <f aca="false">DATE(YEAR(A180),MONTH(A180),1)</f>
        <v>46447</v>
      </c>
      <c r="C180" s="77" t="n">
        <f aca="false">IF(AND(A180&gt;=Impostazioni!$B$4,A180&lt;=Impostazioni!$B$5),1,0)</f>
        <v>1</v>
      </c>
      <c r="D180" s="77" t="n">
        <f aca="false">IF(COUNTIF(Impostazioni!$A$27:$A$56,A180)&gt;0,1,0)</f>
        <v>1</v>
      </c>
      <c r="E180" s="77" t="n">
        <f aca="false">IF(COUNTIFS(Impostazioni!$A$16:$A$23,"&lt;="&amp;A180,Impostazioni!$B$16:$B$23,"&gt;="&amp;A180)&gt;0,1,0)</f>
        <v>0</v>
      </c>
      <c r="F180" s="77" t="n">
        <f aca="false">IF(AND(C180=1,D180=0,E180=0),1,0)</f>
        <v>0</v>
      </c>
      <c r="G180" s="77" t="n">
        <f aca="false">(YEAR(A180)-YEAR(Impostazioni!$B$11))*12+MONTH(A180)-MONTH(Impostazioni!$B$11)</f>
        <v>5</v>
      </c>
      <c r="H180" s="77" t="n">
        <f aca="false">INT((DAY(A180)-1+WEEKDAY(DATE(YEAR(A180),MONTH(A180),1),2)-1)/7)</f>
        <v>3</v>
      </c>
      <c r="I180" s="77" t="str">
        <f aca="false">IF(G180&gt;11,"",INDEX(Calendario!$A$14:$G$193,4+15*G180+2*H180,WEEKDAY(A180,2))&amp;"")</f>
        <v/>
      </c>
      <c r="J180" s="77" t="n">
        <f aca="false">IF(AND(F180=1,I180="A"),1,0)</f>
        <v>0</v>
      </c>
      <c r="K180" s="77" t="n">
        <f aca="false">IF(AND(F180=1,I180="G"),1,0)</f>
        <v>0</v>
      </c>
      <c r="L180" s="77" t="n">
        <f aca="false">IF(AND(F180=1,A180&gt;=Impostazioni!$B$8),1,0)</f>
        <v>0</v>
      </c>
      <c r="M180" s="77" t="n">
        <f aca="false">IF(C180=0,3,IF(OR(D180=1,E180=1),2,IF(WEEKDAY(A180,2)&gt;5,1,0)))</f>
        <v>2</v>
      </c>
      <c r="N180" s="77" t="str">
        <f aca="false">IF(OR(I180="A",I180="G"),MAX(N$1:N179)+1,"")</f>
        <v/>
      </c>
    </row>
    <row r="181" customFormat="false" ht="15" hidden="false" customHeight="false" outlineLevel="0" collapsed="false">
      <c r="A181" s="75" t="n">
        <f aca="false">A180+1</f>
        <v>46475</v>
      </c>
      <c r="B181" s="76" t="n">
        <f aca="false">DATE(YEAR(A181),MONTH(A181),1)</f>
        <v>46447</v>
      </c>
      <c r="C181" s="77" t="n">
        <f aca="false">IF(AND(A181&gt;=Impostazioni!$B$4,A181&lt;=Impostazioni!$B$5),1,0)</f>
        <v>1</v>
      </c>
      <c r="D181" s="77" t="n">
        <f aca="false">IF(COUNTIF(Impostazioni!$A$27:$A$56,A181)&gt;0,1,0)</f>
        <v>1</v>
      </c>
      <c r="E181" s="77" t="n">
        <f aca="false">IF(COUNTIFS(Impostazioni!$A$16:$A$23,"&lt;="&amp;A181,Impostazioni!$B$16:$B$23,"&gt;="&amp;A181)&gt;0,1,0)</f>
        <v>0</v>
      </c>
      <c r="F181" s="77" t="n">
        <f aca="false">IF(AND(C181=1,D181=0,E181=0),1,0)</f>
        <v>0</v>
      </c>
      <c r="G181" s="77" t="n">
        <f aca="false">(YEAR(A181)-YEAR(Impostazioni!$B$11))*12+MONTH(A181)-MONTH(Impostazioni!$B$11)</f>
        <v>5</v>
      </c>
      <c r="H181" s="77" t="n">
        <f aca="false">INT((DAY(A181)-1+WEEKDAY(DATE(YEAR(A181),MONTH(A181),1),2)-1)/7)</f>
        <v>4</v>
      </c>
      <c r="I181" s="77" t="str">
        <f aca="false">IF(G181&gt;11,"",INDEX(Calendario!$A$14:$G$193,4+15*G181+2*H181,WEEKDAY(A181,2))&amp;"")</f>
        <v/>
      </c>
      <c r="J181" s="77" t="n">
        <f aca="false">IF(AND(F181=1,I181="A"),1,0)</f>
        <v>0</v>
      </c>
      <c r="K181" s="77" t="n">
        <f aca="false">IF(AND(F181=1,I181="G"),1,0)</f>
        <v>0</v>
      </c>
      <c r="L181" s="77" t="n">
        <f aca="false">IF(AND(F181=1,A181&gt;=Impostazioni!$B$8),1,0)</f>
        <v>0</v>
      </c>
      <c r="M181" s="77" t="n">
        <f aca="false">IF(C181=0,3,IF(OR(D181=1,E181=1),2,IF(WEEKDAY(A181,2)&gt;5,1,0)))</f>
        <v>2</v>
      </c>
      <c r="N181" s="77" t="str">
        <f aca="false">IF(OR(I181="A",I181="G"),MAX(N$1:N180)+1,"")</f>
        <v/>
      </c>
    </row>
    <row r="182" customFormat="false" ht="15" hidden="false" customHeight="false" outlineLevel="0" collapsed="false">
      <c r="A182" s="75" t="n">
        <f aca="false">A181+1</f>
        <v>46476</v>
      </c>
      <c r="B182" s="76" t="n">
        <f aca="false">DATE(YEAR(A182),MONTH(A182),1)</f>
        <v>46447</v>
      </c>
      <c r="C182" s="77" t="n">
        <f aca="false">IF(AND(A182&gt;=Impostazioni!$B$4,A182&lt;=Impostazioni!$B$5),1,0)</f>
        <v>1</v>
      </c>
      <c r="D182" s="77" t="n">
        <f aca="false">IF(COUNTIF(Impostazioni!$A$27:$A$56,A182)&gt;0,1,0)</f>
        <v>0</v>
      </c>
      <c r="E182" s="77" t="n">
        <f aca="false">IF(COUNTIFS(Impostazioni!$A$16:$A$23,"&lt;="&amp;A182,Impostazioni!$B$16:$B$23,"&gt;="&amp;A182)&gt;0,1,0)</f>
        <v>0</v>
      </c>
      <c r="F182" s="77" t="n">
        <f aca="false">IF(AND(C182=1,D182=0,E182=0),1,0)</f>
        <v>1</v>
      </c>
      <c r="G182" s="77" t="n">
        <f aca="false">(YEAR(A182)-YEAR(Impostazioni!$B$11))*12+MONTH(A182)-MONTH(Impostazioni!$B$11)</f>
        <v>5</v>
      </c>
      <c r="H182" s="77" t="n">
        <f aca="false">INT((DAY(A182)-1+WEEKDAY(DATE(YEAR(A182),MONTH(A182),1),2)-1)/7)</f>
        <v>4</v>
      </c>
      <c r="I182" s="77" t="str">
        <f aca="false">IF(G182&gt;11,"",INDEX(Calendario!$A$14:$G$193,4+15*G182+2*H182,WEEKDAY(A182,2))&amp;"")</f>
        <v/>
      </c>
      <c r="J182" s="77" t="n">
        <f aca="false">IF(AND(F182=1,I182="A"),1,0)</f>
        <v>0</v>
      </c>
      <c r="K182" s="77" t="n">
        <f aca="false">IF(AND(F182=1,I182="G"),1,0)</f>
        <v>0</v>
      </c>
      <c r="L182" s="77" t="n">
        <f aca="false">IF(AND(F182=1,A182&gt;=Impostazioni!$B$8),1,0)</f>
        <v>1</v>
      </c>
      <c r="M182" s="77" t="n">
        <f aca="false">IF(C182=0,3,IF(OR(D182=1,E182=1),2,IF(WEEKDAY(A182,2)&gt;5,1,0)))</f>
        <v>0</v>
      </c>
      <c r="N182" s="77" t="str">
        <f aca="false">IF(OR(I182="A",I182="G"),MAX(N$1:N181)+1,"")</f>
        <v/>
      </c>
    </row>
    <row r="183" customFormat="false" ht="15" hidden="false" customHeight="false" outlineLevel="0" collapsed="false">
      <c r="A183" s="75" t="n">
        <f aca="false">A182+1</f>
        <v>46477</v>
      </c>
      <c r="B183" s="76" t="n">
        <f aca="false">DATE(YEAR(A183),MONTH(A183),1)</f>
        <v>46447</v>
      </c>
      <c r="C183" s="77" t="n">
        <f aca="false">IF(AND(A183&gt;=Impostazioni!$B$4,A183&lt;=Impostazioni!$B$5),1,0)</f>
        <v>1</v>
      </c>
      <c r="D183" s="77" t="n">
        <f aca="false">IF(COUNTIF(Impostazioni!$A$27:$A$56,A183)&gt;0,1,0)</f>
        <v>0</v>
      </c>
      <c r="E183" s="77" t="n">
        <f aca="false">IF(COUNTIFS(Impostazioni!$A$16:$A$23,"&lt;="&amp;A183,Impostazioni!$B$16:$B$23,"&gt;="&amp;A183)&gt;0,1,0)</f>
        <v>0</v>
      </c>
      <c r="F183" s="77" t="n">
        <f aca="false">IF(AND(C183=1,D183=0,E183=0),1,0)</f>
        <v>1</v>
      </c>
      <c r="G183" s="77" t="n">
        <f aca="false">(YEAR(A183)-YEAR(Impostazioni!$B$11))*12+MONTH(A183)-MONTH(Impostazioni!$B$11)</f>
        <v>5</v>
      </c>
      <c r="H183" s="77" t="n">
        <f aca="false">INT((DAY(A183)-1+WEEKDAY(DATE(YEAR(A183),MONTH(A183),1),2)-1)/7)</f>
        <v>4</v>
      </c>
      <c r="I183" s="77" t="str">
        <f aca="false">IF(G183&gt;11,"",INDEX(Calendario!$A$14:$G$193,4+15*G183+2*H183,WEEKDAY(A183,2))&amp;"")</f>
        <v/>
      </c>
      <c r="J183" s="77" t="n">
        <f aca="false">IF(AND(F183=1,I183="A"),1,0)</f>
        <v>0</v>
      </c>
      <c r="K183" s="77" t="n">
        <f aca="false">IF(AND(F183=1,I183="G"),1,0)</f>
        <v>0</v>
      </c>
      <c r="L183" s="77" t="n">
        <f aca="false">IF(AND(F183=1,A183&gt;=Impostazioni!$B$8),1,0)</f>
        <v>1</v>
      </c>
      <c r="M183" s="77" t="n">
        <f aca="false">IF(C183=0,3,IF(OR(D183=1,E183=1),2,IF(WEEKDAY(A183,2)&gt;5,1,0)))</f>
        <v>0</v>
      </c>
      <c r="N183" s="77" t="str">
        <f aca="false">IF(OR(I183="A",I183="G"),MAX(N$1:N182)+1,"")</f>
        <v/>
      </c>
    </row>
    <row r="184" customFormat="false" ht="15" hidden="false" customHeight="false" outlineLevel="0" collapsed="false">
      <c r="A184" s="75" t="n">
        <f aca="false">A183+1</f>
        <v>46478</v>
      </c>
      <c r="B184" s="76" t="n">
        <f aca="false">DATE(YEAR(A184),MONTH(A184),1)</f>
        <v>46478</v>
      </c>
      <c r="C184" s="77" t="n">
        <f aca="false">IF(AND(A184&gt;=Impostazioni!$B$4,A184&lt;=Impostazioni!$B$5),1,0)</f>
        <v>1</v>
      </c>
      <c r="D184" s="77" t="n">
        <f aca="false">IF(COUNTIF(Impostazioni!$A$27:$A$56,A184)&gt;0,1,0)</f>
        <v>0</v>
      </c>
      <c r="E184" s="77" t="n">
        <f aca="false">IF(COUNTIFS(Impostazioni!$A$16:$A$23,"&lt;="&amp;A184,Impostazioni!$B$16:$B$23,"&gt;="&amp;A184)&gt;0,1,0)</f>
        <v>0</v>
      </c>
      <c r="F184" s="77" t="n">
        <f aca="false">IF(AND(C184=1,D184=0,E184=0),1,0)</f>
        <v>1</v>
      </c>
      <c r="G184" s="77" t="n">
        <f aca="false">(YEAR(A184)-YEAR(Impostazioni!$B$11))*12+MONTH(A184)-MONTH(Impostazioni!$B$11)</f>
        <v>6</v>
      </c>
      <c r="H184" s="77" t="n">
        <f aca="false">INT((DAY(A184)-1+WEEKDAY(DATE(YEAR(A184),MONTH(A184),1),2)-1)/7)</f>
        <v>0</v>
      </c>
      <c r="I184" s="77" t="str">
        <f aca="false">IF(G184&gt;11,"",INDEX(Calendario!$A$14:$G$193,4+15*G184+2*H184,WEEKDAY(A184,2))&amp;"")</f>
        <v/>
      </c>
      <c r="J184" s="77" t="n">
        <f aca="false">IF(AND(F184=1,I184="A"),1,0)</f>
        <v>0</v>
      </c>
      <c r="K184" s="77" t="n">
        <f aca="false">IF(AND(F184=1,I184="G"),1,0)</f>
        <v>0</v>
      </c>
      <c r="L184" s="77" t="n">
        <f aca="false">IF(AND(F184=1,A184&gt;=Impostazioni!$B$8),1,0)</f>
        <v>1</v>
      </c>
      <c r="M184" s="77" t="n">
        <f aca="false">IF(C184=0,3,IF(OR(D184=1,E184=1),2,IF(WEEKDAY(A184,2)&gt;5,1,0)))</f>
        <v>0</v>
      </c>
      <c r="N184" s="77" t="str">
        <f aca="false">IF(OR(I184="A",I184="G"),MAX(N$1:N183)+1,"")</f>
        <v/>
      </c>
    </row>
    <row r="185" customFormat="false" ht="15" hidden="false" customHeight="false" outlineLevel="0" collapsed="false">
      <c r="A185" s="75" t="n">
        <f aca="false">A184+1</f>
        <v>46479</v>
      </c>
      <c r="B185" s="76" t="n">
        <f aca="false">DATE(YEAR(A185),MONTH(A185),1)</f>
        <v>46478</v>
      </c>
      <c r="C185" s="77" t="n">
        <f aca="false">IF(AND(A185&gt;=Impostazioni!$B$4,A185&lt;=Impostazioni!$B$5),1,0)</f>
        <v>1</v>
      </c>
      <c r="D185" s="77" t="n">
        <f aca="false">IF(COUNTIF(Impostazioni!$A$27:$A$56,A185)&gt;0,1,0)</f>
        <v>0</v>
      </c>
      <c r="E185" s="77" t="n">
        <f aca="false">IF(COUNTIFS(Impostazioni!$A$16:$A$23,"&lt;="&amp;A185,Impostazioni!$B$16:$B$23,"&gt;="&amp;A185)&gt;0,1,0)</f>
        <v>0</v>
      </c>
      <c r="F185" s="77" t="n">
        <f aca="false">IF(AND(C185=1,D185=0,E185=0),1,0)</f>
        <v>1</v>
      </c>
      <c r="G185" s="77" t="n">
        <f aca="false">(YEAR(A185)-YEAR(Impostazioni!$B$11))*12+MONTH(A185)-MONTH(Impostazioni!$B$11)</f>
        <v>6</v>
      </c>
      <c r="H185" s="77" t="n">
        <f aca="false">INT((DAY(A185)-1+WEEKDAY(DATE(YEAR(A185),MONTH(A185),1),2)-1)/7)</f>
        <v>0</v>
      </c>
      <c r="I185" s="77" t="str">
        <f aca="false">IF(G185&gt;11,"",INDEX(Calendario!$A$14:$G$193,4+15*G185+2*H185,WEEKDAY(A185,2))&amp;"")</f>
        <v/>
      </c>
      <c r="J185" s="77" t="n">
        <f aca="false">IF(AND(F185=1,I185="A"),1,0)</f>
        <v>0</v>
      </c>
      <c r="K185" s="77" t="n">
        <f aca="false">IF(AND(F185=1,I185="G"),1,0)</f>
        <v>0</v>
      </c>
      <c r="L185" s="77" t="n">
        <f aca="false">IF(AND(F185=1,A185&gt;=Impostazioni!$B$8),1,0)</f>
        <v>1</v>
      </c>
      <c r="M185" s="77" t="n">
        <f aca="false">IF(C185=0,3,IF(OR(D185=1,E185=1),2,IF(WEEKDAY(A185,2)&gt;5,1,0)))</f>
        <v>0</v>
      </c>
      <c r="N185" s="77" t="str">
        <f aca="false">IF(OR(I185="A",I185="G"),MAX(N$1:N184)+1,"")</f>
        <v/>
      </c>
    </row>
    <row r="186" customFormat="false" ht="15" hidden="false" customHeight="false" outlineLevel="0" collapsed="false">
      <c r="A186" s="75" t="n">
        <f aca="false">A185+1</f>
        <v>46480</v>
      </c>
      <c r="B186" s="76" t="n">
        <f aca="false">DATE(YEAR(A186),MONTH(A186),1)</f>
        <v>46478</v>
      </c>
      <c r="C186" s="77" t="n">
        <f aca="false">IF(AND(A186&gt;=Impostazioni!$B$4,A186&lt;=Impostazioni!$B$5),1,0)</f>
        <v>1</v>
      </c>
      <c r="D186" s="77" t="n">
        <f aca="false">IF(COUNTIF(Impostazioni!$A$27:$A$56,A186)&gt;0,1,0)</f>
        <v>0</v>
      </c>
      <c r="E186" s="77" t="n">
        <f aca="false">IF(COUNTIFS(Impostazioni!$A$16:$A$23,"&lt;="&amp;A186,Impostazioni!$B$16:$B$23,"&gt;="&amp;A186)&gt;0,1,0)</f>
        <v>0</v>
      </c>
      <c r="F186" s="77" t="n">
        <f aca="false">IF(AND(C186=1,D186=0,E186=0),1,0)</f>
        <v>1</v>
      </c>
      <c r="G186" s="77" t="n">
        <f aca="false">(YEAR(A186)-YEAR(Impostazioni!$B$11))*12+MONTH(A186)-MONTH(Impostazioni!$B$11)</f>
        <v>6</v>
      </c>
      <c r="H186" s="77" t="n">
        <f aca="false">INT((DAY(A186)-1+WEEKDAY(DATE(YEAR(A186),MONTH(A186),1),2)-1)/7)</f>
        <v>0</v>
      </c>
      <c r="I186" s="77" t="str">
        <f aca="false">IF(G186&gt;11,"",INDEX(Calendario!$A$14:$G$193,4+15*G186+2*H186,WEEKDAY(A186,2))&amp;"")</f>
        <v/>
      </c>
      <c r="J186" s="77" t="n">
        <f aca="false">IF(AND(F186=1,I186="A"),1,0)</f>
        <v>0</v>
      </c>
      <c r="K186" s="77" t="n">
        <f aca="false">IF(AND(F186=1,I186="G"),1,0)</f>
        <v>0</v>
      </c>
      <c r="L186" s="77" t="n">
        <f aca="false">IF(AND(F186=1,A186&gt;=Impostazioni!$B$8),1,0)</f>
        <v>1</v>
      </c>
      <c r="M186" s="77" t="n">
        <f aca="false">IF(C186=0,3,IF(OR(D186=1,E186=1),2,IF(WEEKDAY(A186,2)&gt;5,1,0)))</f>
        <v>1</v>
      </c>
      <c r="N186" s="77" t="str">
        <f aca="false">IF(OR(I186="A",I186="G"),MAX(N$1:N185)+1,"")</f>
        <v/>
      </c>
    </row>
    <row r="187" customFormat="false" ht="15" hidden="false" customHeight="false" outlineLevel="0" collapsed="false">
      <c r="A187" s="75" t="n">
        <f aca="false">A186+1</f>
        <v>46481</v>
      </c>
      <c r="B187" s="76" t="n">
        <f aca="false">DATE(YEAR(A187),MONTH(A187),1)</f>
        <v>46478</v>
      </c>
      <c r="C187" s="77" t="n">
        <f aca="false">IF(AND(A187&gt;=Impostazioni!$B$4,A187&lt;=Impostazioni!$B$5),1,0)</f>
        <v>1</v>
      </c>
      <c r="D187" s="77" t="n">
        <f aca="false">IF(COUNTIF(Impostazioni!$A$27:$A$56,A187)&gt;0,1,0)</f>
        <v>0</v>
      </c>
      <c r="E187" s="77" t="n">
        <f aca="false">IF(COUNTIFS(Impostazioni!$A$16:$A$23,"&lt;="&amp;A187,Impostazioni!$B$16:$B$23,"&gt;="&amp;A187)&gt;0,1,0)</f>
        <v>0</v>
      </c>
      <c r="F187" s="77" t="n">
        <f aca="false">IF(AND(C187=1,D187=0,E187=0),1,0)</f>
        <v>1</v>
      </c>
      <c r="G187" s="77" t="n">
        <f aca="false">(YEAR(A187)-YEAR(Impostazioni!$B$11))*12+MONTH(A187)-MONTH(Impostazioni!$B$11)</f>
        <v>6</v>
      </c>
      <c r="H187" s="77" t="n">
        <f aca="false">INT((DAY(A187)-1+WEEKDAY(DATE(YEAR(A187),MONTH(A187),1),2)-1)/7)</f>
        <v>0</v>
      </c>
      <c r="I187" s="77" t="str">
        <f aca="false">IF(G187&gt;11,"",INDEX(Calendario!$A$14:$G$193,4+15*G187+2*H187,WEEKDAY(A187,2))&amp;"")</f>
        <v/>
      </c>
      <c r="J187" s="77" t="n">
        <f aca="false">IF(AND(F187=1,I187="A"),1,0)</f>
        <v>0</v>
      </c>
      <c r="K187" s="77" t="n">
        <f aca="false">IF(AND(F187=1,I187="G"),1,0)</f>
        <v>0</v>
      </c>
      <c r="L187" s="77" t="n">
        <f aca="false">IF(AND(F187=1,A187&gt;=Impostazioni!$B$8),1,0)</f>
        <v>1</v>
      </c>
      <c r="M187" s="77" t="n">
        <f aca="false">IF(C187=0,3,IF(OR(D187=1,E187=1),2,IF(WEEKDAY(A187,2)&gt;5,1,0)))</f>
        <v>1</v>
      </c>
      <c r="N187" s="77" t="str">
        <f aca="false">IF(OR(I187="A",I187="G"),MAX(N$1:N186)+1,"")</f>
        <v/>
      </c>
    </row>
    <row r="188" customFormat="false" ht="15" hidden="false" customHeight="false" outlineLevel="0" collapsed="false">
      <c r="A188" s="75" t="n">
        <f aca="false">A187+1</f>
        <v>46482</v>
      </c>
      <c r="B188" s="76" t="n">
        <f aca="false">DATE(YEAR(A188),MONTH(A188),1)</f>
        <v>46478</v>
      </c>
      <c r="C188" s="77" t="n">
        <f aca="false">IF(AND(A188&gt;=Impostazioni!$B$4,A188&lt;=Impostazioni!$B$5),1,0)</f>
        <v>1</v>
      </c>
      <c r="D188" s="77" t="n">
        <f aca="false">IF(COUNTIF(Impostazioni!$A$27:$A$56,A188)&gt;0,1,0)</f>
        <v>0</v>
      </c>
      <c r="E188" s="77" t="n">
        <f aca="false">IF(COUNTIFS(Impostazioni!$A$16:$A$23,"&lt;="&amp;A188,Impostazioni!$B$16:$B$23,"&gt;="&amp;A188)&gt;0,1,0)</f>
        <v>0</v>
      </c>
      <c r="F188" s="77" t="n">
        <f aca="false">IF(AND(C188=1,D188=0,E188=0),1,0)</f>
        <v>1</v>
      </c>
      <c r="G188" s="77" t="n">
        <f aca="false">(YEAR(A188)-YEAR(Impostazioni!$B$11))*12+MONTH(A188)-MONTH(Impostazioni!$B$11)</f>
        <v>6</v>
      </c>
      <c r="H188" s="77" t="n">
        <f aca="false">INT((DAY(A188)-1+WEEKDAY(DATE(YEAR(A188),MONTH(A188),1),2)-1)/7)</f>
        <v>1</v>
      </c>
      <c r="I188" s="77" t="str">
        <f aca="false">IF(G188&gt;11,"",INDEX(Calendario!$A$14:$G$193,4+15*G188+2*H188,WEEKDAY(A188,2))&amp;"")</f>
        <v/>
      </c>
      <c r="J188" s="77" t="n">
        <f aca="false">IF(AND(F188=1,I188="A"),1,0)</f>
        <v>0</v>
      </c>
      <c r="K188" s="77" t="n">
        <f aca="false">IF(AND(F188=1,I188="G"),1,0)</f>
        <v>0</v>
      </c>
      <c r="L188" s="77" t="n">
        <f aca="false">IF(AND(F188=1,A188&gt;=Impostazioni!$B$8),1,0)</f>
        <v>1</v>
      </c>
      <c r="M188" s="77" t="n">
        <f aca="false">IF(C188=0,3,IF(OR(D188=1,E188=1),2,IF(WEEKDAY(A188,2)&gt;5,1,0)))</f>
        <v>0</v>
      </c>
      <c r="N188" s="77" t="str">
        <f aca="false">IF(OR(I188="A",I188="G"),MAX(N$1:N187)+1,"")</f>
        <v/>
      </c>
    </row>
    <row r="189" customFormat="false" ht="15" hidden="false" customHeight="false" outlineLevel="0" collapsed="false">
      <c r="A189" s="75" t="n">
        <f aca="false">A188+1</f>
        <v>46483</v>
      </c>
      <c r="B189" s="76" t="n">
        <f aca="false">DATE(YEAR(A189),MONTH(A189),1)</f>
        <v>46478</v>
      </c>
      <c r="C189" s="77" t="n">
        <f aca="false">IF(AND(A189&gt;=Impostazioni!$B$4,A189&lt;=Impostazioni!$B$5),1,0)</f>
        <v>1</v>
      </c>
      <c r="D189" s="77" t="n">
        <f aca="false">IF(COUNTIF(Impostazioni!$A$27:$A$56,A189)&gt;0,1,0)</f>
        <v>0</v>
      </c>
      <c r="E189" s="77" t="n">
        <f aca="false">IF(COUNTIFS(Impostazioni!$A$16:$A$23,"&lt;="&amp;A189,Impostazioni!$B$16:$B$23,"&gt;="&amp;A189)&gt;0,1,0)</f>
        <v>0</v>
      </c>
      <c r="F189" s="77" t="n">
        <f aca="false">IF(AND(C189=1,D189=0,E189=0),1,0)</f>
        <v>1</v>
      </c>
      <c r="G189" s="77" t="n">
        <f aca="false">(YEAR(A189)-YEAR(Impostazioni!$B$11))*12+MONTH(A189)-MONTH(Impostazioni!$B$11)</f>
        <v>6</v>
      </c>
      <c r="H189" s="77" t="n">
        <f aca="false">INT((DAY(A189)-1+WEEKDAY(DATE(YEAR(A189),MONTH(A189),1),2)-1)/7)</f>
        <v>1</v>
      </c>
      <c r="I189" s="77" t="str">
        <f aca="false">IF(G189&gt;11,"",INDEX(Calendario!$A$14:$G$193,4+15*G189+2*H189,WEEKDAY(A189,2))&amp;"")</f>
        <v/>
      </c>
      <c r="J189" s="77" t="n">
        <f aca="false">IF(AND(F189=1,I189="A"),1,0)</f>
        <v>0</v>
      </c>
      <c r="K189" s="77" t="n">
        <f aca="false">IF(AND(F189=1,I189="G"),1,0)</f>
        <v>0</v>
      </c>
      <c r="L189" s="77" t="n">
        <f aca="false">IF(AND(F189=1,A189&gt;=Impostazioni!$B$8),1,0)</f>
        <v>1</v>
      </c>
      <c r="M189" s="77" t="n">
        <f aca="false">IF(C189=0,3,IF(OR(D189=1,E189=1),2,IF(WEEKDAY(A189,2)&gt;5,1,0)))</f>
        <v>0</v>
      </c>
      <c r="N189" s="77" t="str">
        <f aca="false">IF(OR(I189="A",I189="G"),MAX(N$1:N188)+1,"")</f>
        <v/>
      </c>
    </row>
    <row r="190" customFormat="false" ht="15" hidden="false" customHeight="false" outlineLevel="0" collapsed="false">
      <c r="A190" s="75" t="n">
        <f aca="false">A189+1</f>
        <v>46484</v>
      </c>
      <c r="B190" s="76" t="n">
        <f aca="false">DATE(YEAR(A190),MONTH(A190),1)</f>
        <v>46478</v>
      </c>
      <c r="C190" s="77" t="n">
        <f aca="false">IF(AND(A190&gt;=Impostazioni!$B$4,A190&lt;=Impostazioni!$B$5),1,0)</f>
        <v>1</v>
      </c>
      <c r="D190" s="77" t="n">
        <f aca="false">IF(COUNTIF(Impostazioni!$A$27:$A$56,A190)&gt;0,1,0)</f>
        <v>0</v>
      </c>
      <c r="E190" s="77" t="n">
        <f aca="false">IF(COUNTIFS(Impostazioni!$A$16:$A$23,"&lt;="&amp;A190,Impostazioni!$B$16:$B$23,"&gt;="&amp;A190)&gt;0,1,0)</f>
        <v>0</v>
      </c>
      <c r="F190" s="77" t="n">
        <f aca="false">IF(AND(C190=1,D190=0,E190=0),1,0)</f>
        <v>1</v>
      </c>
      <c r="G190" s="77" t="n">
        <f aca="false">(YEAR(A190)-YEAR(Impostazioni!$B$11))*12+MONTH(A190)-MONTH(Impostazioni!$B$11)</f>
        <v>6</v>
      </c>
      <c r="H190" s="77" t="n">
        <f aca="false">INT((DAY(A190)-1+WEEKDAY(DATE(YEAR(A190),MONTH(A190),1),2)-1)/7)</f>
        <v>1</v>
      </c>
      <c r="I190" s="77" t="str">
        <f aca="false">IF(G190&gt;11,"",INDEX(Calendario!$A$14:$G$193,4+15*G190+2*H190,WEEKDAY(A190,2))&amp;"")</f>
        <v/>
      </c>
      <c r="J190" s="77" t="n">
        <f aca="false">IF(AND(F190=1,I190="A"),1,0)</f>
        <v>0</v>
      </c>
      <c r="K190" s="77" t="n">
        <f aca="false">IF(AND(F190=1,I190="G"),1,0)</f>
        <v>0</v>
      </c>
      <c r="L190" s="77" t="n">
        <f aca="false">IF(AND(F190=1,A190&gt;=Impostazioni!$B$8),1,0)</f>
        <v>1</v>
      </c>
      <c r="M190" s="77" t="n">
        <f aca="false">IF(C190=0,3,IF(OR(D190=1,E190=1),2,IF(WEEKDAY(A190,2)&gt;5,1,0)))</f>
        <v>0</v>
      </c>
      <c r="N190" s="77" t="str">
        <f aca="false">IF(OR(I190="A",I190="G"),MAX(N$1:N189)+1,"")</f>
        <v/>
      </c>
    </row>
    <row r="191" customFormat="false" ht="15" hidden="false" customHeight="false" outlineLevel="0" collapsed="false">
      <c r="A191" s="75" t="n">
        <f aca="false">A190+1</f>
        <v>46485</v>
      </c>
      <c r="B191" s="76" t="n">
        <f aca="false">DATE(YEAR(A191),MONTH(A191),1)</f>
        <v>46478</v>
      </c>
      <c r="C191" s="77" t="n">
        <f aca="false">IF(AND(A191&gt;=Impostazioni!$B$4,A191&lt;=Impostazioni!$B$5),1,0)</f>
        <v>1</v>
      </c>
      <c r="D191" s="77" t="n">
        <f aca="false">IF(COUNTIF(Impostazioni!$A$27:$A$56,A191)&gt;0,1,0)</f>
        <v>0</v>
      </c>
      <c r="E191" s="77" t="n">
        <f aca="false">IF(COUNTIFS(Impostazioni!$A$16:$A$23,"&lt;="&amp;A191,Impostazioni!$B$16:$B$23,"&gt;="&amp;A191)&gt;0,1,0)</f>
        <v>0</v>
      </c>
      <c r="F191" s="77" t="n">
        <f aca="false">IF(AND(C191=1,D191=0,E191=0),1,0)</f>
        <v>1</v>
      </c>
      <c r="G191" s="77" t="n">
        <f aca="false">(YEAR(A191)-YEAR(Impostazioni!$B$11))*12+MONTH(A191)-MONTH(Impostazioni!$B$11)</f>
        <v>6</v>
      </c>
      <c r="H191" s="77" t="n">
        <f aca="false">INT((DAY(A191)-1+WEEKDAY(DATE(YEAR(A191),MONTH(A191),1),2)-1)/7)</f>
        <v>1</v>
      </c>
      <c r="I191" s="77" t="str">
        <f aca="false">IF(G191&gt;11,"",INDEX(Calendario!$A$14:$G$193,4+15*G191+2*H191,WEEKDAY(A191,2))&amp;"")</f>
        <v/>
      </c>
      <c r="J191" s="77" t="n">
        <f aca="false">IF(AND(F191=1,I191="A"),1,0)</f>
        <v>0</v>
      </c>
      <c r="K191" s="77" t="n">
        <f aca="false">IF(AND(F191=1,I191="G"),1,0)</f>
        <v>0</v>
      </c>
      <c r="L191" s="77" t="n">
        <f aca="false">IF(AND(F191=1,A191&gt;=Impostazioni!$B$8),1,0)</f>
        <v>1</v>
      </c>
      <c r="M191" s="77" t="n">
        <f aca="false">IF(C191=0,3,IF(OR(D191=1,E191=1),2,IF(WEEKDAY(A191,2)&gt;5,1,0)))</f>
        <v>0</v>
      </c>
      <c r="N191" s="77" t="str">
        <f aca="false">IF(OR(I191="A",I191="G"),MAX(N$1:N190)+1,"")</f>
        <v/>
      </c>
    </row>
    <row r="192" customFormat="false" ht="15" hidden="false" customHeight="false" outlineLevel="0" collapsed="false">
      <c r="A192" s="75" t="n">
        <f aca="false">A191+1</f>
        <v>46486</v>
      </c>
      <c r="B192" s="76" t="n">
        <f aca="false">DATE(YEAR(A192),MONTH(A192),1)</f>
        <v>46478</v>
      </c>
      <c r="C192" s="77" t="n">
        <f aca="false">IF(AND(A192&gt;=Impostazioni!$B$4,A192&lt;=Impostazioni!$B$5),1,0)</f>
        <v>1</v>
      </c>
      <c r="D192" s="77" t="n">
        <f aca="false">IF(COUNTIF(Impostazioni!$A$27:$A$56,A192)&gt;0,1,0)</f>
        <v>0</v>
      </c>
      <c r="E192" s="77" t="n">
        <f aca="false">IF(COUNTIFS(Impostazioni!$A$16:$A$23,"&lt;="&amp;A192,Impostazioni!$B$16:$B$23,"&gt;="&amp;A192)&gt;0,1,0)</f>
        <v>0</v>
      </c>
      <c r="F192" s="77" t="n">
        <f aca="false">IF(AND(C192=1,D192=0,E192=0),1,0)</f>
        <v>1</v>
      </c>
      <c r="G192" s="77" t="n">
        <f aca="false">(YEAR(A192)-YEAR(Impostazioni!$B$11))*12+MONTH(A192)-MONTH(Impostazioni!$B$11)</f>
        <v>6</v>
      </c>
      <c r="H192" s="77" t="n">
        <f aca="false">INT((DAY(A192)-1+WEEKDAY(DATE(YEAR(A192),MONTH(A192),1),2)-1)/7)</f>
        <v>1</v>
      </c>
      <c r="I192" s="77" t="str">
        <f aca="false">IF(G192&gt;11,"",INDEX(Calendario!$A$14:$G$193,4+15*G192+2*H192,WEEKDAY(A192,2))&amp;"")</f>
        <v/>
      </c>
      <c r="J192" s="77" t="n">
        <f aca="false">IF(AND(F192=1,I192="A"),1,0)</f>
        <v>0</v>
      </c>
      <c r="K192" s="77" t="n">
        <f aca="false">IF(AND(F192=1,I192="G"),1,0)</f>
        <v>0</v>
      </c>
      <c r="L192" s="77" t="n">
        <f aca="false">IF(AND(F192=1,A192&gt;=Impostazioni!$B$8),1,0)</f>
        <v>1</v>
      </c>
      <c r="M192" s="77" t="n">
        <f aca="false">IF(C192=0,3,IF(OR(D192=1,E192=1),2,IF(WEEKDAY(A192,2)&gt;5,1,0)))</f>
        <v>0</v>
      </c>
      <c r="N192" s="77" t="str">
        <f aca="false">IF(OR(I192="A",I192="G"),MAX(N$1:N191)+1,"")</f>
        <v/>
      </c>
    </row>
    <row r="193" customFormat="false" ht="15" hidden="false" customHeight="false" outlineLevel="0" collapsed="false">
      <c r="A193" s="75" t="n">
        <f aca="false">A192+1</f>
        <v>46487</v>
      </c>
      <c r="B193" s="76" t="n">
        <f aca="false">DATE(YEAR(A193),MONTH(A193),1)</f>
        <v>46478</v>
      </c>
      <c r="C193" s="77" t="n">
        <f aca="false">IF(AND(A193&gt;=Impostazioni!$B$4,A193&lt;=Impostazioni!$B$5),1,0)</f>
        <v>1</v>
      </c>
      <c r="D193" s="77" t="n">
        <f aca="false">IF(COUNTIF(Impostazioni!$A$27:$A$56,A193)&gt;0,1,0)</f>
        <v>0</v>
      </c>
      <c r="E193" s="77" t="n">
        <f aca="false">IF(COUNTIFS(Impostazioni!$A$16:$A$23,"&lt;="&amp;A193,Impostazioni!$B$16:$B$23,"&gt;="&amp;A193)&gt;0,1,0)</f>
        <v>0</v>
      </c>
      <c r="F193" s="77" t="n">
        <f aca="false">IF(AND(C193=1,D193=0,E193=0),1,0)</f>
        <v>1</v>
      </c>
      <c r="G193" s="77" t="n">
        <f aca="false">(YEAR(A193)-YEAR(Impostazioni!$B$11))*12+MONTH(A193)-MONTH(Impostazioni!$B$11)</f>
        <v>6</v>
      </c>
      <c r="H193" s="77" t="n">
        <f aca="false">INT((DAY(A193)-1+WEEKDAY(DATE(YEAR(A193),MONTH(A193),1),2)-1)/7)</f>
        <v>1</v>
      </c>
      <c r="I193" s="77" t="str">
        <f aca="false">IF(G193&gt;11,"",INDEX(Calendario!$A$14:$G$193,4+15*G193+2*H193,WEEKDAY(A193,2))&amp;"")</f>
        <v/>
      </c>
      <c r="J193" s="77" t="n">
        <f aca="false">IF(AND(F193=1,I193="A"),1,0)</f>
        <v>0</v>
      </c>
      <c r="K193" s="77" t="n">
        <f aca="false">IF(AND(F193=1,I193="G"),1,0)</f>
        <v>0</v>
      </c>
      <c r="L193" s="77" t="n">
        <f aca="false">IF(AND(F193=1,A193&gt;=Impostazioni!$B$8),1,0)</f>
        <v>1</v>
      </c>
      <c r="M193" s="77" t="n">
        <f aca="false">IF(C193=0,3,IF(OR(D193=1,E193=1),2,IF(WEEKDAY(A193,2)&gt;5,1,0)))</f>
        <v>1</v>
      </c>
      <c r="N193" s="77" t="str">
        <f aca="false">IF(OR(I193="A",I193="G"),MAX(N$1:N192)+1,"")</f>
        <v/>
      </c>
    </row>
    <row r="194" customFormat="false" ht="15" hidden="false" customHeight="false" outlineLevel="0" collapsed="false">
      <c r="A194" s="75" t="n">
        <f aca="false">A193+1</f>
        <v>46488</v>
      </c>
      <c r="B194" s="76" t="n">
        <f aca="false">DATE(YEAR(A194),MONTH(A194),1)</f>
        <v>46478</v>
      </c>
      <c r="C194" s="77" t="n">
        <f aca="false">IF(AND(A194&gt;=Impostazioni!$B$4,A194&lt;=Impostazioni!$B$5),1,0)</f>
        <v>1</v>
      </c>
      <c r="D194" s="77" t="n">
        <f aca="false">IF(COUNTIF(Impostazioni!$A$27:$A$56,A194)&gt;0,1,0)</f>
        <v>0</v>
      </c>
      <c r="E194" s="77" t="n">
        <f aca="false">IF(COUNTIFS(Impostazioni!$A$16:$A$23,"&lt;="&amp;A194,Impostazioni!$B$16:$B$23,"&gt;="&amp;A194)&gt;0,1,0)</f>
        <v>0</v>
      </c>
      <c r="F194" s="77" t="n">
        <f aca="false">IF(AND(C194=1,D194=0,E194=0),1,0)</f>
        <v>1</v>
      </c>
      <c r="G194" s="77" t="n">
        <f aca="false">(YEAR(A194)-YEAR(Impostazioni!$B$11))*12+MONTH(A194)-MONTH(Impostazioni!$B$11)</f>
        <v>6</v>
      </c>
      <c r="H194" s="77" t="n">
        <f aca="false">INT((DAY(A194)-1+WEEKDAY(DATE(YEAR(A194),MONTH(A194),1),2)-1)/7)</f>
        <v>1</v>
      </c>
      <c r="I194" s="77" t="str">
        <f aca="false">IF(G194&gt;11,"",INDEX(Calendario!$A$14:$G$193,4+15*G194+2*H194,WEEKDAY(A194,2))&amp;"")</f>
        <v/>
      </c>
      <c r="J194" s="77" t="n">
        <f aca="false">IF(AND(F194=1,I194="A"),1,0)</f>
        <v>0</v>
      </c>
      <c r="K194" s="77" t="n">
        <f aca="false">IF(AND(F194=1,I194="G"),1,0)</f>
        <v>0</v>
      </c>
      <c r="L194" s="77" t="n">
        <f aca="false">IF(AND(F194=1,A194&gt;=Impostazioni!$B$8),1,0)</f>
        <v>1</v>
      </c>
      <c r="M194" s="77" t="n">
        <f aca="false">IF(C194=0,3,IF(OR(D194=1,E194=1),2,IF(WEEKDAY(A194,2)&gt;5,1,0)))</f>
        <v>1</v>
      </c>
      <c r="N194" s="77" t="str">
        <f aca="false">IF(OR(I194="A",I194="G"),MAX(N$1:N193)+1,"")</f>
        <v/>
      </c>
    </row>
    <row r="195" customFormat="false" ht="15" hidden="false" customHeight="false" outlineLevel="0" collapsed="false">
      <c r="A195" s="75" t="n">
        <f aca="false">A194+1</f>
        <v>46489</v>
      </c>
      <c r="B195" s="76" t="n">
        <f aca="false">DATE(YEAR(A195),MONTH(A195),1)</f>
        <v>46478</v>
      </c>
      <c r="C195" s="77" t="n">
        <f aca="false">IF(AND(A195&gt;=Impostazioni!$B$4,A195&lt;=Impostazioni!$B$5),1,0)</f>
        <v>1</v>
      </c>
      <c r="D195" s="77" t="n">
        <f aca="false">IF(COUNTIF(Impostazioni!$A$27:$A$56,A195)&gt;0,1,0)</f>
        <v>0</v>
      </c>
      <c r="E195" s="77" t="n">
        <f aca="false">IF(COUNTIFS(Impostazioni!$A$16:$A$23,"&lt;="&amp;A195,Impostazioni!$B$16:$B$23,"&gt;="&amp;A195)&gt;0,1,0)</f>
        <v>0</v>
      </c>
      <c r="F195" s="77" t="n">
        <f aca="false">IF(AND(C195=1,D195=0,E195=0),1,0)</f>
        <v>1</v>
      </c>
      <c r="G195" s="77" t="n">
        <f aca="false">(YEAR(A195)-YEAR(Impostazioni!$B$11))*12+MONTH(A195)-MONTH(Impostazioni!$B$11)</f>
        <v>6</v>
      </c>
      <c r="H195" s="77" t="n">
        <f aca="false">INT((DAY(A195)-1+WEEKDAY(DATE(YEAR(A195),MONTH(A195),1),2)-1)/7)</f>
        <v>2</v>
      </c>
      <c r="I195" s="77" t="str">
        <f aca="false">IF(G195&gt;11,"",INDEX(Calendario!$A$14:$G$193,4+15*G195+2*H195,WEEKDAY(A195,2))&amp;"")</f>
        <v/>
      </c>
      <c r="J195" s="77" t="n">
        <f aca="false">IF(AND(F195=1,I195="A"),1,0)</f>
        <v>0</v>
      </c>
      <c r="K195" s="77" t="n">
        <f aca="false">IF(AND(F195=1,I195="G"),1,0)</f>
        <v>0</v>
      </c>
      <c r="L195" s="77" t="n">
        <f aca="false">IF(AND(F195=1,A195&gt;=Impostazioni!$B$8),1,0)</f>
        <v>1</v>
      </c>
      <c r="M195" s="77" t="n">
        <f aca="false">IF(C195=0,3,IF(OR(D195=1,E195=1),2,IF(WEEKDAY(A195,2)&gt;5,1,0)))</f>
        <v>0</v>
      </c>
      <c r="N195" s="77" t="str">
        <f aca="false">IF(OR(I195="A",I195="G"),MAX(N$1:N194)+1,"")</f>
        <v/>
      </c>
    </row>
    <row r="196" customFormat="false" ht="15" hidden="false" customHeight="false" outlineLevel="0" collapsed="false">
      <c r="A196" s="75" t="n">
        <f aca="false">A195+1</f>
        <v>46490</v>
      </c>
      <c r="B196" s="76" t="n">
        <f aca="false">DATE(YEAR(A196),MONTH(A196),1)</f>
        <v>46478</v>
      </c>
      <c r="C196" s="77" t="n">
        <f aca="false">IF(AND(A196&gt;=Impostazioni!$B$4,A196&lt;=Impostazioni!$B$5),1,0)</f>
        <v>1</v>
      </c>
      <c r="D196" s="77" t="n">
        <f aca="false">IF(COUNTIF(Impostazioni!$A$27:$A$56,A196)&gt;0,1,0)</f>
        <v>0</v>
      </c>
      <c r="E196" s="77" t="n">
        <f aca="false">IF(COUNTIFS(Impostazioni!$A$16:$A$23,"&lt;="&amp;A196,Impostazioni!$B$16:$B$23,"&gt;="&amp;A196)&gt;0,1,0)</f>
        <v>0</v>
      </c>
      <c r="F196" s="77" t="n">
        <f aca="false">IF(AND(C196=1,D196=0,E196=0),1,0)</f>
        <v>1</v>
      </c>
      <c r="G196" s="77" t="n">
        <f aca="false">(YEAR(A196)-YEAR(Impostazioni!$B$11))*12+MONTH(A196)-MONTH(Impostazioni!$B$11)</f>
        <v>6</v>
      </c>
      <c r="H196" s="77" t="n">
        <f aca="false">INT((DAY(A196)-1+WEEKDAY(DATE(YEAR(A196),MONTH(A196),1),2)-1)/7)</f>
        <v>2</v>
      </c>
      <c r="I196" s="77" t="str">
        <f aca="false">IF(G196&gt;11,"",INDEX(Calendario!$A$14:$G$193,4+15*G196+2*H196,WEEKDAY(A196,2))&amp;"")</f>
        <v/>
      </c>
      <c r="J196" s="77" t="n">
        <f aca="false">IF(AND(F196=1,I196="A"),1,0)</f>
        <v>0</v>
      </c>
      <c r="K196" s="77" t="n">
        <f aca="false">IF(AND(F196=1,I196="G"),1,0)</f>
        <v>0</v>
      </c>
      <c r="L196" s="77" t="n">
        <f aca="false">IF(AND(F196=1,A196&gt;=Impostazioni!$B$8),1,0)</f>
        <v>1</v>
      </c>
      <c r="M196" s="77" t="n">
        <f aca="false">IF(C196=0,3,IF(OR(D196=1,E196=1),2,IF(WEEKDAY(A196,2)&gt;5,1,0)))</f>
        <v>0</v>
      </c>
      <c r="N196" s="77" t="str">
        <f aca="false">IF(OR(I196="A",I196="G"),MAX(N$1:N195)+1,"")</f>
        <v/>
      </c>
    </row>
    <row r="197" customFormat="false" ht="15" hidden="false" customHeight="false" outlineLevel="0" collapsed="false">
      <c r="A197" s="75" t="n">
        <f aca="false">A196+1</f>
        <v>46491</v>
      </c>
      <c r="B197" s="76" t="n">
        <f aca="false">DATE(YEAR(A197),MONTH(A197),1)</f>
        <v>46478</v>
      </c>
      <c r="C197" s="77" t="n">
        <f aca="false">IF(AND(A197&gt;=Impostazioni!$B$4,A197&lt;=Impostazioni!$B$5),1,0)</f>
        <v>1</v>
      </c>
      <c r="D197" s="77" t="n">
        <f aca="false">IF(COUNTIF(Impostazioni!$A$27:$A$56,A197)&gt;0,1,0)</f>
        <v>0</v>
      </c>
      <c r="E197" s="77" t="n">
        <f aca="false">IF(COUNTIFS(Impostazioni!$A$16:$A$23,"&lt;="&amp;A197,Impostazioni!$B$16:$B$23,"&gt;="&amp;A197)&gt;0,1,0)</f>
        <v>0</v>
      </c>
      <c r="F197" s="77" t="n">
        <f aca="false">IF(AND(C197=1,D197=0,E197=0),1,0)</f>
        <v>1</v>
      </c>
      <c r="G197" s="77" t="n">
        <f aca="false">(YEAR(A197)-YEAR(Impostazioni!$B$11))*12+MONTH(A197)-MONTH(Impostazioni!$B$11)</f>
        <v>6</v>
      </c>
      <c r="H197" s="77" t="n">
        <f aca="false">INT((DAY(A197)-1+WEEKDAY(DATE(YEAR(A197),MONTH(A197),1),2)-1)/7)</f>
        <v>2</v>
      </c>
      <c r="I197" s="77" t="str">
        <f aca="false">IF(G197&gt;11,"",INDEX(Calendario!$A$14:$G$193,4+15*G197+2*H197,WEEKDAY(A197,2))&amp;"")</f>
        <v/>
      </c>
      <c r="J197" s="77" t="n">
        <f aca="false">IF(AND(F197=1,I197="A"),1,0)</f>
        <v>0</v>
      </c>
      <c r="K197" s="77" t="n">
        <f aca="false">IF(AND(F197=1,I197="G"),1,0)</f>
        <v>0</v>
      </c>
      <c r="L197" s="77" t="n">
        <f aca="false">IF(AND(F197=1,A197&gt;=Impostazioni!$B$8),1,0)</f>
        <v>1</v>
      </c>
      <c r="M197" s="77" t="n">
        <f aca="false">IF(C197=0,3,IF(OR(D197=1,E197=1),2,IF(WEEKDAY(A197,2)&gt;5,1,0)))</f>
        <v>0</v>
      </c>
      <c r="N197" s="77" t="str">
        <f aca="false">IF(OR(I197="A",I197="G"),MAX(N$1:N196)+1,"")</f>
        <v/>
      </c>
    </row>
    <row r="198" customFormat="false" ht="15" hidden="false" customHeight="false" outlineLevel="0" collapsed="false">
      <c r="A198" s="75" t="n">
        <f aca="false">A197+1</f>
        <v>46492</v>
      </c>
      <c r="B198" s="76" t="n">
        <f aca="false">DATE(YEAR(A198),MONTH(A198),1)</f>
        <v>46478</v>
      </c>
      <c r="C198" s="77" t="n">
        <f aca="false">IF(AND(A198&gt;=Impostazioni!$B$4,A198&lt;=Impostazioni!$B$5),1,0)</f>
        <v>1</v>
      </c>
      <c r="D198" s="77" t="n">
        <f aca="false">IF(COUNTIF(Impostazioni!$A$27:$A$56,A198)&gt;0,1,0)</f>
        <v>0</v>
      </c>
      <c r="E198" s="77" t="n">
        <f aca="false">IF(COUNTIFS(Impostazioni!$A$16:$A$23,"&lt;="&amp;A198,Impostazioni!$B$16:$B$23,"&gt;="&amp;A198)&gt;0,1,0)</f>
        <v>0</v>
      </c>
      <c r="F198" s="77" t="n">
        <f aca="false">IF(AND(C198=1,D198=0,E198=0),1,0)</f>
        <v>1</v>
      </c>
      <c r="G198" s="77" t="n">
        <f aca="false">(YEAR(A198)-YEAR(Impostazioni!$B$11))*12+MONTH(A198)-MONTH(Impostazioni!$B$11)</f>
        <v>6</v>
      </c>
      <c r="H198" s="77" t="n">
        <f aca="false">INT((DAY(A198)-1+WEEKDAY(DATE(YEAR(A198),MONTH(A198),1),2)-1)/7)</f>
        <v>2</v>
      </c>
      <c r="I198" s="77" t="str">
        <f aca="false">IF(G198&gt;11,"",INDEX(Calendario!$A$14:$G$193,4+15*G198+2*H198,WEEKDAY(A198,2))&amp;"")</f>
        <v/>
      </c>
      <c r="J198" s="77" t="n">
        <f aca="false">IF(AND(F198=1,I198="A"),1,0)</f>
        <v>0</v>
      </c>
      <c r="K198" s="77" t="n">
        <f aca="false">IF(AND(F198=1,I198="G"),1,0)</f>
        <v>0</v>
      </c>
      <c r="L198" s="77" t="n">
        <f aca="false">IF(AND(F198=1,A198&gt;=Impostazioni!$B$8),1,0)</f>
        <v>1</v>
      </c>
      <c r="M198" s="77" t="n">
        <f aca="false">IF(C198=0,3,IF(OR(D198=1,E198=1),2,IF(WEEKDAY(A198,2)&gt;5,1,0)))</f>
        <v>0</v>
      </c>
      <c r="N198" s="77" t="str">
        <f aca="false">IF(OR(I198="A",I198="G"),MAX(N$1:N197)+1,"")</f>
        <v/>
      </c>
    </row>
    <row r="199" customFormat="false" ht="15" hidden="false" customHeight="false" outlineLevel="0" collapsed="false">
      <c r="A199" s="75" t="n">
        <f aca="false">A198+1</f>
        <v>46493</v>
      </c>
      <c r="B199" s="76" t="n">
        <f aca="false">DATE(YEAR(A199),MONTH(A199),1)</f>
        <v>46478</v>
      </c>
      <c r="C199" s="77" t="n">
        <f aca="false">IF(AND(A199&gt;=Impostazioni!$B$4,A199&lt;=Impostazioni!$B$5),1,0)</f>
        <v>1</v>
      </c>
      <c r="D199" s="77" t="n">
        <f aca="false">IF(COUNTIF(Impostazioni!$A$27:$A$56,A199)&gt;0,1,0)</f>
        <v>0</v>
      </c>
      <c r="E199" s="77" t="n">
        <f aca="false">IF(COUNTIFS(Impostazioni!$A$16:$A$23,"&lt;="&amp;A199,Impostazioni!$B$16:$B$23,"&gt;="&amp;A199)&gt;0,1,0)</f>
        <v>0</v>
      </c>
      <c r="F199" s="77" t="n">
        <f aca="false">IF(AND(C199=1,D199=0,E199=0),1,0)</f>
        <v>1</v>
      </c>
      <c r="G199" s="77" t="n">
        <f aca="false">(YEAR(A199)-YEAR(Impostazioni!$B$11))*12+MONTH(A199)-MONTH(Impostazioni!$B$11)</f>
        <v>6</v>
      </c>
      <c r="H199" s="77" t="n">
        <f aca="false">INT((DAY(A199)-1+WEEKDAY(DATE(YEAR(A199),MONTH(A199),1),2)-1)/7)</f>
        <v>2</v>
      </c>
      <c r="I199" s="77" t="str">
        <f aca="false">IF(G199&gt;11,"",INDEX(Calendario!$A$14:$G$193,4+15*G199+2*H199,WEEKDAY(A199,2))&amp;"")</f>
        <v/>
      </c>
      <c r="J199" s="77" t="n">
        <f aca="false">IF(AND(F199=1,I199="A"),1,0)</f>
        <v>0</v>
      </c>
      <c r="K199" s="77" t="n">
        <f aca="false">IF(AND(F199=1,I199="G"),1,0)</f>
        <v>0</v>
      </c>
      <c r="L199" s="77" t="n">
        <f aca="false">IF(AND(F199=1,A199&gt;=Impostazioni!$B$8),1,0)</f>
        <v>1</v>
      </c>
      <c r="M199" s="77" t="n">
        <f aca="false">IF(C199=0,3,IF(OR(D199=1,E199=1),2,IF(WEEKDAY(A199,2)&gt;5,1,0)))</f>
        <v>0</v>
      </c>
      <c r="N199" s="77" t="str">
        <f aca="false">IF(OR(I199="A",I199="G"),MAX(N$1:N198)+1,"")</f>
        <v/>
      </c>
    </row>
    <row r="200" customFormat="false" ht="15" hidden="false" customHeight="false" outlineLevel="0" collapsed="false">
      <c r="A200" s="75" t="n">
        <f aca="false">A199+1</f>
        <v>46494</v>
      </c>
      <c r="B200" s="76" t="n">
        <f aca="false">DATE(YEAR(A200),MONTH(A200),1)</f>
        <v>46478</v>
      </c>
      <c r="C200" s="77" t="n">
        <f aca="false">IF(AND(A200&gt;=Impostazioni!$B$4,A200&lt;=Impostazioni!$B$5),1,0)</f>
        <v>1</v>
      </c>
      <c r="D200" s="77" t="n">
        <f aca="false">IF(COUNTIF(Impostazioni!$A$27:$A$56,A200)&gt;0,1,0)</f>
        <v>0</v>
      </c>
      <c r="E200" s="77" t="n">
        <f aca="false">IF(COUNTIFS(Impostazioni!$A$16:$A$23,"&lt;="&amp;A200,Impostazioni!$B$16:$B$23,"&gt;="&amp;A200)&gt;0,1,0)</f>
        <v>0</v>
      </c>
      <c r="F200" s="77" t="n">
        <f aca="false">IF(AND(C200=1,D200=0,E200=0),1,0)</f>
        <v>1</v>
      </c>
      <c r="G200" s="77" t="n">
        <f aca="false">(YEAR(A200)-YEAR(Impostazioni!$B$11))*12+MONTH(A200)-MONTH(Impostazioni!$B$11)</f>
        <v>6</v>
      </c>
      <c r="H200" s="77" t="n">
        <f aca="false">INT((DAY(A200)-1+WEEKDAY(DATE(YEAR(A200),MONTH(A200),1),2)-1)/7)</f>
        <v>2</v>
      </c>
      <c r="I200" s="77" t="str">
        <f aca="false">IF(G200&gt;11,"",INDEX(Calendario!$A$14:$G$193,4+15*G200+2*H200,WEEKDAY(A200,2))&amp;"")</f>
        <v/>
      </c>
      <c r="J200" s="77" t="n">
        <f aca="false">IF(AND(F200=1,I200="A"),1,0)</f>
        <v>0</v>
      </c>
      <c r="K200" s="77" t="n">
        <f aca="false">IF(AND(F200=1,I200="G"),1,0)</f>
        <v>0</v>
      </c>
      <c r="L200" s="77" t="n">
        <f aca="false">IF(AND(F200=1,A200&gt;=Impostazioni!$B$8),1,0)</f>
        <v>1</v>
      </c>
      <c r="M200" s="77" t="n">
        <f aca="false">IF(C200=0,3,IF(OR(D200=1,E200=1),2,IF(WEEKDAY(A200,2)&gt;5,1,0)))</f>
        <v>1</v>
      </c>
      <c r="N200" s="77" t="str">
        <f aca="false">IF(OR(I200="A",I200="G"),MAX(N$1:N199)+1,"")</f>
        <v/>
      </c>
    </row>
    <row r="201" customFormat="false" ht="15" hidden="false" customHeight="false" outlineLevel="0" collapsed="false">
      <c r="A201" s="75" t="n">
        <f aca="false">A200+1</f>
        <v>46495</v>
      </c>
      <c r="B201" s="76" t="n">
        <f aca="false">DATE(YEAR(A201),MONTH(A201),1)</f>
        <v>46478</v>
      </c>
      <c r="C201" s="77" t="n">
        <f aca="false">IF(AND(A201&gt;=Impostazioni!$B$4,A201&lt;=Impostazioni!$B$5),1,0)</f>
        <v>1</v>
      </c>
      <c r="D201" s="77" t="n">
        <f aca="false">IF(COUNTIF(Impostazioni!$A$27:$A$56,A201)&gt;0,1,0)</f>
        <v>0</v>
      </c>
      <c r="E201" s="77" t="n">
        <f aca="false">IF(COUNTIFS(Impostazioni!$A$16:$A$23,"&lt;="&amp;A201,Impostazioni!$B$16:$B$23,"&gt;="&amp;A201)&gt;0,1,0)</f>
        <v>0</v>
      </c>
      <c r="F201" s="77" t="n">
        <f aca="false">IF(AND(C201=1,D201=0,E201=0),1,0)</f>
        <v>1</v>
      </c>
      <c r="G201" s="77" t="n">
        <f aca="false">(YEAR(A201)-YEAR(Impostazioni!$B$11))*12+MONTH(A201)-MONTH(Impostazioni!$B$11)</f>
        <v>6</v>
      </c>
      <c r="H201" s="77" t="n">
        <f aca="false">INT((DAY(A201)-1+WEEKDAY(DATE(YEAR(A201),MONTH(A201),1),2)-1)/7)</f>
        <v>2</v>
      </c>
      <c r="I201" s="77" t="str">
        <f aca="false">IF(G201&gt;11,"",INDEX(Calendario!$A$14:$G$193,4+15*G201+2*H201,WEEKDAY(A201,2))&amp;"")</f>
        <v/>
      </c>
      <c r="J201" s="77" t="n">
        <f aca="false">IF(AND(F201=1,I201="A"),1,0)</f>
        <v>0</v>
      </c>
      <c r="K201" s="77" t="n">
        <f aca="false">IF(AND(F201=1,I201="G"),1,0)</f>
        <v>0</v>
      </c>
      <c r="L201" s="77" t="n">
        <f aca="false">IF(AND(F201=1,A201&gt;=Impostazioni!$B$8),1,0)</f>
        <v>1</v>
      </c>
      <c r="M201" s="77" t="n">
        <f aca="false">IF(C201=0,3,IF(OR(D201=1,E201=1),2,IF(WEEKDAY(A201,2)&gt;5,1,0)))</f>
        <v>1</v>
      </c>
      <c r="N201" s="77" t="str">
        <f aca="false">IF(OR(I201="A",I201="G"),MAX(N$1:N200)+1,"")</f>
        <v/>
      </c>
    </row>
    <row r="202" customFormat="false" ht="15" hidden="false" customHeight="false" outlineLevel="0" collapsed="false">
      <c r="A202" s="75" t="n">
        <f aca="false">A201+1</f>
        <v>46496</v>
      </c>
      <c r="B202" s="76" t="n">
        <f aca="false">DATE(YEAR(A202),MONTH(A202),1)</f>
        <v>46478</v>
      </c>
      <c r="C202" s="77" t="n">
        <f aca="false">IF(AND(A202&gt;=Impostazioni!$B$4,A202&lt;=Impostazioni!$B$5),1,0)</f>
        <v>1</v>
      </c>
      <c r="D202" s="77" t="n">
        <f aca="false">IF(COUNTIF(Impostazioni!$A$27:$A$56,A202)&gt;0,1,0)</f>
        <v>0</v>
      </c>
      <c r="E202" s="77" t="n">
        <f aca="false">IF(COUNTIFS(Impostazioni!$A$16:$A$23,"&lt;="&amp;A202,Impostazioni!$B$16:$B$23,"&gt;="&amp;A202)&gt;0,1,0)</f>
        <v>0</v>
      </c>
      <c r="F202" s="77" t="n">
        <f aca="false">IF(AND(C202=1,D202=0,E202=0),1,0)</f>
        <v>1</v>
      </c>
      <c r="G202" s="77" t="n">
        <f aca="false">(YEAR(A202)-YEAR(Impostazioni!$B$11))*12+MONTH(A202)-MONTH(Impostazioni!$B$11)</f>
        <v>6</v>
      </c>
      <c r="H202" s="77" t="n">
        <f aca="false">INT((DAY(A202)-1+WEEKDAY(DATE(YEAR(A202),MONTH(A202),1),2)-1)/7)</f>
        <v>3</v>
      </c>
      <c r="I202" s="77" t="str">
        <f aca="false">IF(G202&gt;11,"",INDEX(Calendario!$A$14:$G$193,4+15*G202+2*H202,WEEKDAY(A202,2))&amp;"")</f>
        <v/>
      </c>
      <c r="J202" s="77" t="n">
        <f aca="false">IF(AND(F202=1,I202="A"),1,0)</f>
        <v>0</v>
      </c>
      <c r="K202" s="77" t="n">
        <f aca="false">IF(AND(F202=1,I202="G"),1,0)</f>
        <v>0</v>
      </c>
      <c r="L202" s="77" t="n">
        <f aca="false">IF(AND(F202=1,A202&gt;=Impostazioni!$B$8),1,0)</f>
        <v>1</v>
      </c>
      <c r="M202" s="77" t="n">
        <f aca="false">IF(C202=0,3,IF(OR(D202=1,E202=1),2,IF(WEEKDAY(A202,2)&gt;5,1,0)))</f>
        <v>0</v>
      </c>
      <c r="N202" s="77" t="str">
        <f aca="false">IF(OR(I202="A",I202="G"),MAX(N$1:N201)+1,"")</f>
        <v/>
      </c>
    </row>
    <row r="203" customFormat="false" ht="15" hidden="false" customHeight="false" outlineLevel="0" collapsed="false">
      <c r="A203" s="75" t="n">
        <f aca="false">A202+1</f>
        <v>46497</v>
      </c>
      <c r="B203" s="76" t="n">
        <f aca="false">DATE(YEAR(A203),MONTH(A203),1)</f>
        <v>46478</v>
      </c>
      <c r="C203" s="77" t="n">
        <f aca="false">IF(AND(A203&gt;=Impostazioni!$B$4,A203&lt;=Impostazioni!$B$5),1,0)</f>
        <v>1</v>
      </c>
      <c r="D203" s="77" t="n">
        <f aca="false">IF(COUNTIF(Impostazioni!$A$27:$A$56,A203)&gt;0,1,0)</f>
        <v>0</v>
      </c>
      <c r="E203" s="77" t="n">
        <f aca="false">IF(COUNTIFS(Impostazioni!$A$16:$A$23,"&lt;="&amp;A203,Impostazioni!$B$16:$B$23,"&gt;="&amp;A203)&gt;0,1,0)</f>
        <v>0</v>
      </c>
      <c r="F203" s="77" t="n">
        <f aca="false">IF(AND(C203=1,D203=0,E203=0),1,0)</f>
        <v>1</v>
      </c>
      <c r="G203" s="77" t="n">
        <f aca="false">(YEAR(A203)-YEAR(Impostazioni!$B$11))*12+MONTH(A203)-MONTH(Impostazioni!$B$11)</f>
        <v>6</v>
      </c>
      <c r="H203" s="77" t="n">
        <f aca="false">INT((DAY(A203)-1+WEEKDAY(DATE(YEAR(A203),MONTH(A203),1),2)-1)/7)</f>
        <v>3</v>
      </c>
      <c r="I203" s="77" t="str">
        <f aca="false">IF(G203&gt;11,"",INDEX(Calendario!$A$14:$G$193,4+15*G203+2*H203,WEEKDAY(A203,2))&amp;"")</f>
        <v/>
      </c>
      <c r="J203" s="77" t="n">
        <f aca="false">IF(AND(F203=1,I203="A"),1,0)</f>
        <v>0</v>
      </c>
      <c r="K203" s="77" t="n">
        <f aca="false">IF(AND(F203=1,I203="G"),1,0)</f>
        <v>0</v>
      </c>
      <c r="L203" s="77" t="n">
        <f aca="false">IF(AND(F203=1,A203&gt;=Impostazioni!$B$8),1,0)</f>
        <v>1</v>
      </c>
      <c r="M203" s="77" t="n">
        <f aca="false">IF(C203=0,3,IF(OR(D203=1,E203=1),2,IF(WEEKDAY(A203,2)&gt;5,1,0)))</f>
        <v>0</v>
      </c>
      <c r="N203" s="77" t="str">
        <f aca="false">IF(OR(I203="A",I203="G"),MAX(N$1:N202)+1,"")</f>
        <v/>
      </c>
    </row>
    <row r="204" customFormat="false" ht="15" hidden="false" customHeight="false" outlineLevel="0" collapsed="false">
      <c r="A204" s="75" t="n">
        <f aca="false">A203+1</f>
        <v>46498</v>
      </c>
      <c r="B204" s="76" t="n">
        <f aca="false">DATE(YEAR(A204),MONTH(A204),1)</f>
        <v>46478</v>
      </c>
      <c r="C204" s="77" t="n">
        <f aca="false">IF(AND(A204&gt;=Impostazioni!$B$4,A204&lt;=Impostazioni!$B$5),1,0)</f>
        <v>1</v>
      </c>
      <c r="D204" s="77" t="n">
        <f aca="false">IF(COUNTIF(Impostazioni!$A$27:$A$56,A204)&gt;0,1,0)</f>
        <v>0</v>
      </c>
      <c r="E204" s="77" t="n">
        <f aca="false">IF(COUNTIFS(Impostazioni!$A$16:$A$23,"&lt;="&amp;A204,Impostazioni!$B$16:$B$23,"&gt;="&amp;A204)&gt;0,1,0)</f>
        <v>0</v>
      </c>
      <c r="F204" s="77" t="n">
        <f aca="false">IF(AND(C204=1,D204=0,E204=0),1,0)</f>
        <v>1</v>
      </c>
      <c r="G204" s="77" t="n">
        <f aca="false">(YEAR(A204)-YEAR(Impostazioni!$B$11))*12+MONTH(A204)-MONTH(Impostazioni!$B$11)</f>
        <v>6</v>
      </c>
      <c r="H204" s="77" t="n">
        <f aca="false">INT((DAY(A204)-1+WEEKDAY(DATE(YEAR(A204),MONTH(A204),1),2)-1)/7)</f>
        <v>3</v>
      </c>
      <c r="I204" s="77" t="str">
        <f aca="false">IF(G204&gt;11,"",INDEX(Calendario!$A$14:$G$193,4+15*G204+2*H204,WEEKDAY(A204,2))&amp;"")</f>
        <v/>
      </c>
      <c r="J204" s="77" t="n">
        <f aca="false">IF(AND(F204=1,I204="A"),1,0)</f>
        <v>0</v>
      </c>
      <c r="K204" s="77" t="n">
        <f aca="false">IF(AND(F204=1,I204="G"),1,0)</f>
        <v>0</v>
      </c>
      <c r="L204" s="77" t="n">
        <f aca="false">IF(AND(F204=1,A204&gt;=Impostazioni!$B$8),1,0)</f>
        <v>1</v>
      </c>
      <c r="M204" s="77" t="n">
        <f aca="false">IF(C204=0,3,IF(OR(D204=1,E204=1),2,IF(WEEKDAY(A204,2)&gt;5,1,0)))</f>
        <v>0</v>
      </c>
      <c r="N204" s="77" t="str">
        <f aca="false">IF(OR(I204="A",I204="G"),MAX(N$1:N203)+1,"")</f>
        <v/>
      </c>
    </row>
    <row r="205" customFormat="false" ht="15" hidden="false" customHeight="false" outlineLevel="0" collapsed="false">
      <c r="A205" s="75" t="n">
        <f aca="false">A204+1</f>
        <v>46499</v>
      </c>
      <c r="B205" s="76" t="n">
        <f aca="false">DATE(YEAR(A205),MONTH(A205),1)</f>
        <v>46478</v>
      </c>
      <c r="C205" s="77" t="n">
        <f aca="false">IF(AND(A205&gt;=Impostazioni!$B$4,A205&lt;=Impostazioni!$B$5),1,0)</f>
        <v>1</v>
      </c>
      <c r="D205" s="77" t="n">
        <f aca="false">IF(COUNTIF(Impostazioni!$A$27:$A$56,A205)&gt;0,1,0)</f>
        <v>0</v>
      </c>
      <c r="E205" s="77" t="n">
        <f aca="false">IF(COUNTIFS(Impostazioni!$A$16:$A$23,"&lt;="&amp;A205,Impostazioni!$B$16:$B$23,"&gt;="&amp;A205)&gt;0,1,0)</f>
        <v>0</v>
      </c>
      <c r="F205" s="77" t="n">
        <f aca="false">IF(AND(C205=1,D205=0,E205=0),1,0)</f>
        <v>1</v>
      </c>
      <c r="G205" s="77" t="n">
        <f aca="false">(YEAR(A205)-YEAR(Impostazioni!$B$11))*12+MONTH(A205)-MONTH(Impostazioni!$B$11)</f>
        <v>6</v>
      </c>
      <c r="H205" s="77" t="n">
        <f aca="false">INT((DAY(A205)-1+WEEKDAY(DATE(YEAR(A205),MONTH(A205),1),2)-1)/7)</f>
        <v>3</v>
      </c>
      <c r="I205" s="77" t="str">
        <f aca="false">IF(G205&gt;11,"",INDEX(Calendario!$A$14:$G$193,4+15*G205+2*H205,WEEKDAY(A205,2))&amp;"")</f>
        <v/>
      </c>
      <c r="J205" s="77" t="n">
        <f aca="false">IF(AND(F205=1,I205="A"),1,0)</f>
        <v>0</v>
      </c>
      <c r="K205" s="77" t="n">
        <f aca="false">IF(AND(F205=1,I205="G"),1,0)</f>
        <v>0</v>
      </c>
      <c r="L205" s="77" t="n">
        <f aca="false">IF(AND(F205=1,A205&gt;=Impostazioni!$B$8),1,0)</f>
        <v>1</v>
      </c>
      <c r="M205" s="77" t="n">
        <f aca="false">IF(C205=0,3,IF(OR(D205=1,E205=1),2,IF(WEEKDAY(A205,2)&gt;5,1,0)))</f>
        <v>0</v>
      </c>
      <c r="N205" s="77" t="str">
        <f aca="false">IF(OR(I205="A",I205="G"),MAX(N$1:N204)+1,"")</f>
        <v/>
      </c>
    </row>
    <row r="206" customFormat="false" ht="15" hidden="false" customHeight="false" outlineLevel="0" collapsed="false">
      <c r="A206" s="75" t="n">
        <f aca="false">A205+1</f>
        <v>46500</v>
      </c>
      <c r="B206" s="76" t="n">
        <f aca="false">DATE(YEAR(A206),MONTH(A206),1)</f>
        <v>46478</v>
      </c>
      <c r="C206" s="77" t="n">
        <f aca="false">IF(AND(A206&gt;=Impostazioni!$B$4,A206&lt;=Impostazioni!$B$5),1,0)</f>
        <v>1</v>
      </c>
      <c r="D206" s="77" t="n">
        <f aca="false">IF(COUNTIF(Impostazioni!$A$27:$A$56,A206)&gt;0,1,0)</f>
        <v>0</v>
      </c>
      <c r="E206" s="77" t="n">
        <f aca="false">IF(COUNTIFS(Impostazioni!$A$16:$A$23,"&lt;="&amp;A206,Impostazioni!$B$16:$B$23,"&gt;="&amp;A206)&gt;0,1,0)</f>
        <v>0</v>
      </c>
      <c r="F206" s="77" t="n">
        <f aca="false">IF(AND(C206=1,D206=0,E206=0),1,0)</f>
        <v>1</v>
      </c>
      <c r="G206" s="77" t="n">
        <f aca="false">(YEAR(A206)-YEAR(Impostazioni!$B$11))*12+MONTH(A206)-MONTH(Impostazioni!$B$11)</f>
        <v>6</v>
      </c>
      <c r="H206" s="77" t="n">
        <f aca="false">INT((DAY(A206)-1+WEEKDAY(DATE(YEAR(A206),MONTH(A206),1),2)-1)/7)</f>
        <v>3</v>
      </c>
      <c r="I206" s="77" t="str">
        <f aca="false">IF(G206&gt;11,"",INDEX(Calendario!$A$14:$G$193,4+15*G206+2*H206,WEEKDAY(A206,2))&amp;"")</f>
        <v/>
      </c>
      <c r="J206" s="77" t="n">
        <f aca="false">IF(AND(F206=1,I206="A"),1,0)</f>
        <v>0</v>
      </c>
      <c r="K206" s="77" t="n">
        <f aca="false">IF(AND(F206=1,I206="G"),1,0)</f>
        <v>0</v>
      </c>
      <c r="L206" s="77" t="n">
        <f aca="false">IF(AND(F206=1,A206&gt;=Impostazioni!$B$8),1,0)</f>
        <v>1</v>
      </c>
      <c r="M206" s="77" t="n">
        <f aca="false">IF(C206=0,3,IF(OR(D206=1,E206=1),2,IF(WEEKDAY(A206,2)&gt;5,1,0)))</f>
        <v>0</v>
      </c>
      <c r="N206" s="77" t="str">
        <f aca="false">IF(OR(I206="A",I206="G"),MAX(N$1:N205)+1,"")</f>
        <v/>
      </c>
    </row>
    <row r="207" customFormat="false" ht="15" hidden="false" customHeight="false" outlineLevel="0" collapsed="false">
      <c r="A207" s="75" t="n">
        <f aca="false">A206+1</f>
        <v>46501</v>
      </c>
      <c r="B207" s="76" t="n">
        <f aca="false">DATE(YEAR(A207),MONTH(A207),1)</f>
        <v>46478</v>
      </c>
      <c r="C207" s="77" t="n">
        <f aca="false">IF(AND(A207&gt;=Impostazioni!$B$4,A207&lt;=Impostazioni!$B$5),1,0)</f>
        <v>1</v>
      </c>
      <c r="D207" s="77" t="n">
        <f aca="false">IF(COUNTIF(Impostazioni!$A$27:$A$56,A207)&gt;0,1,0)</f>
        <v>0</v>
      </c>
      <c r="E207" s="77" t="n">
        <f aca="false">IF(COUNTIFS(Impostazioni!$A$16:$A$23,"&lt;="&amp;A207,Impostazioni!$B$16:$B$23,"&gt;="&amp;A207)&gt;0,1,0)</f>
        <v>0</v>
      </c>
      <c r="F207" s="77" t="n">
        <f aca="false">IF(AND(C207=1,D207=0,E207=0),1,0)</f>
        <v>1</v>
      </c>
      <c r="G207" s="77" t="n">
        <f aca="false">(YEAR(A207)-YEAR(Impostazioni!$B$11))*12+MONTH(A207)-MONTH(Impostazioni!$B$11)</f>
        <v>6</v>
      </c>
      <c r="H207" s="77" t="n">
        <f aca="false">INT((DAY(A207)-1+WEEKDAY(DATE(YEAR(A207),MONTH(A207),1),2)-1)/7)</f>
        <v>3</v>
      </c>
      <c r="I207" s="77" t="str">
        <f aca="false">IF(G207&gt;11,"",INDEX(Calendario!$A$14:$G$193,4+15*G207+2*H207,WEEKDAY(A207,2))&amp;"")</f>
        <v/>
      </c>
      <c r="J207" s="77" t="n">
        <f aca="false">IF(AND(F207=1,I207="A"),1,0)</f>
        <v>0</v>
      </c>
      <c r="K207" s="77" t="n">
        <f aca="false">IF(AND(F207=1,I207="G"),1,0)</f>
        <v>0</v>
      </c>
      <c r="L207" s="77" t="n">
        <f aca="false">IF(AND(F207=1,A207&gt;=Impostazioni!$B$8),1,0)</f>
        <v>1</v>
      </c>
      <c r="M207" s="77" t="n">
        <f aca="false">IF(C207=0,3,IF(OR(D207=1,E207=1),2,IF(WEEKDAY(A207,2)&gt;5,1,0)))</f>
        <v>1</v>
      </c>
      <c r="N207" s="77" t="str">
        <f aca="false">IF(OR(I207="A",I207="G"),MAX(N$1:N206)+1,"")</f>
        <v/>
      </c>
    </row>
    <row r="208" customFormat="false" ht="15" hidden="false" customHeight="false" outlineLevel="0" collapsed="false">
      <c r="A208" s="75" t="n">
        <f aca="false">A207+1</f>
        <v>46502</v>
      </c>
      <c r="B208" s="76" t="n">
        <f aca="false">DATE(YEAR(A208),MONTH(A208),1)</f>
        <v>46478</v>
      </c>
      <c r="C208" s="77" t="n">
        <f aca="false">IF(AND(A208&gt;=Impostazioni!$B$4,A208&lt;=Impostazioni!$B$5),1,0)</f>
        <v>1</v>
      </c>
      <c r="D208" s="77" t="n">
        <f aca="false">IF(COUNTIF(Impostazioni!$A$27:$A$56,A208)&gt;0,1,0)</f>
        <v>1</v>
      </c>
      <c r="E208" s="77" t="n">
        <f aca="false">IF(COUNTIFS(Impostazioni!$A$16:$A$23,"&lt;="&amp;A208,Impostazioni!$B$16:$B$23,"&gt;="&amp;A208)&gt;0,1,0)</f>
        <v>0</v>
      </c>
      <c r="F208" s="77" t="n">
        <f aca="false">IF(AND(C208=1,D208=0,E208=0),1,0)</f>
        <v>0</v>
      </c>
      <c r="G208" s="77" t="n">
        <f aca="false">(YEAR(A208)-YEAR(Impostazioni!$B$11))*12+MONTH(A208)-MONTH(Impostazioni!$B$11)</f>
        <v>6</v>
      </c>
      <c r="H208" s="77" t="n">
        <f aca="false">INT((DAY(A208)-1+WEEKDAY(DATE(YEAR(A208),MONTH(A208),1),2)-1)/7)</f>
        <v>3</v>
      </c>
      <c r="I208" s="77" t="str">
        <f aca="false">IF(G208&gt;11,"",INDEX(Calendario!$A$14:$G$193,4+15*G208+2*H208,WEEKDAY(A208,2))&amp;"")</f>
        <v/>
      </c>
      <c r="J208" s="77" t="n">
        <f aca="false">IF(AND(F208=1,I208="A"),1,0)</f>
        <v>0</v>
      </c>
      <c r="K208" s="77" t="n">
        <f aca="false">IF(AND(F208=1,I208="G"),1,0)</f>
        <v>0</v>
      </c>
      <c r="L208" s="77" t="n">
        <f aca="false">IF(AND(F208=1,A208&gt;=Impostazioni!$B$8),1,0)</f>
        <v>0</v>
      </c>
      <c r="M208" s="77" t="n">
        <f aca="false">IF(C208=0,3,IF(OR(D208=1,E208=1),2,IF(WEEKDAY(A208,2)&gt;5,1,0)))</f>
        <v>2</v>
      </c>
      <c r="N208" s="77" t="str">
        <f aca="false">IF(OR(I208="A",I208="G"),MAX(N$1:N207)+1,"")</f>
        <v/>
      </c>
    </row>
    <row r="209" customFormat="false" ht="15" hidden="false" customHeight="false" outlineLevel="0" collapsed="false">
      <c r="A209" s="75" t="n">
        <f aca="false">A208+1</f>
        <v>46503</v>
      </c>
      <c r="B209" s="76" t="n">
        <f aca="false">DATE(YEAR(A209),MONTH(A209),1)</f>
        <v>46478</v>
      </c>
      <c r="C209" s="77" t="n">
        <f aca="false">IF(AND(A209&gt;=Impostazioni!$B$4,A209&lt;=Impostazioni!$B$5),1,0)</f>
        <v>1</v>
      </c>
      <c r="D209" s="77" t="n">
        <f aca="false">IF(COUNTIF(Impostazioni!$A$27:$A$56,A209)&gt;0,1,0)</f>
        <v>0</v>
      </c>
      <c r="E209" s="77" t="n">
        <f aca="false">IF(COUNTIFS(Impostazioni!$A$16:$A$23,"&lt;="&amp;A209,Impostazioni!$B$16:$B$23,"&gt;="&amp;A209)&gt;0,1,0)</f>
        <v>0</v>
      </c>
      <c r="F209" s="77" t="n">
        <f aca="false">IF(AND(C209=1,D209=0,E209=0),1,0)</f>
        <v>1</v>
      </c>
      <c r="G209" s="77" t="n">
        <f aca="false">(YEAR(A209)-YEAR(Impostazioni!$B$11))*12+MONTH(A209)-MONTH(Impostazioni!$B$11)</f>
        <v>6</v>
      </c>
      <c r="H209" s="77" t="n">
        <f aca="false">INT((DAY(A209)-1+WEEKDAY(DATE(YEAR(A209),MONTH(A209),1),2)-1)/7)</f>
        <v>4</v>
      </c>
      <c r="I209" s="77" t="str">
        <f aca="false">IF(G209&gt;11,"",INDEX(Calendario!$A$14:$G$193,4+15*G209+2*H209,WEEKDAY(A209,2))&amp;"")</f>
        <v/>
      </c>
      <c r="J209" s="77" t="n">
        <f aca="false">IF(AND(F209=1,I209="A"),1,0)</f>
        <v>0</v>
      </c>
      <c r="K209" s="77" t="n">
        <f aca="false">IF(AND(F209=1,I209="G"),1,0)</f>
        <v>0</v>
      </c>
      <c r="L209" s="77" t="n">
        <f aca="false">IF(AND(F209=1,A209&gt;=Impostazioni!$B$8),1,0)</f>
        <v>1</v>
      </c>
      <c r="M209" s="77" t="n">
        <f aca="false">IF(C209=0,3,IF(OR(D209=1,E209=1),2,IF(WEEKDAY(A209,2)&gt;5,1,0)))</f>
        <v>0</v>
      </c>
      <c r="N209" s="77" t="str">
        <f aca="false">IF(OR(I209="A",I209="G"),MAX(N$1:N208)+1,"")</f>
        <v/>
      </c>
    </row>
    <row r="210" customFormat="false" ht="15" hidden="false" customHeight="false" outlineLevel="0" collapsed="false">
      <c r="A210" s="75" t="n">
        <f aca="false">A209+1</f>
        <v>46504</v>
      </c>
      <c r="B210" s="76" t="n">
        <f aca="false">DATE(YEAR(A210),MONTH(A210),1)</f>
        <v>46478</v>
      </c>
      <c r="C210" s="77" t="n">
        <f aca="false">IF(AND(A210&gt;=Impostazioni!$B$4,A210&lt;=Impostazioni!$B$5),1,0)</f>
        <v>1</v>
      </c>
      <c r="D210" s="77" t="n">
        <f aca="false">IF(COUNTIF(Impostazioni!$A$27:$A$56,A210)&gt;0,1,0)</f>
        <v>0</v>
      </c>
      <c r="E210" s="77" t="n">
        <f aca="false">IF(COUNTIFS(Impostazioni!$A$16:$A$23,"&lt;="&amp;A210,Impostazioni!$B$16:$B$23,"&gt;="&amp;A210)&gt;0,1,0)</f>
        <v>0</v>
      </c>
      <c r="F210" s="77" t="n">
        <f aca="false">IF(AND(C210=1,D210=0,E210=0),1,0)</f>
        <v>1</v>
      </c>
      <c r="G210" s="77" t="n">
        <f aca="false">(YEAR(A210)-YEAR(Impostazioni!$B$11))*12+MONTH(A210)-MONTH(Impostazioni!$B$11)</f>
        <v>6</v>
      </c>
      <c r="H210" s="77" t="n">
        <f aca="false">INT((DAY(A210)-1+WEEKDAY(DATE(YEAR(A210),MONTH(A210),1),2)-1)/7)</f>
        <v>4</v>
      </c>
      <c r="I210" s="77" t="str">
        <f aca="false">IF(G210&gt;11,"",INDEX(Calendario!$A$14:$G$193,4+15*G210+2*H210,WEEKDAY(A210,2))&amp;"")</f>
        <v/>
      </c>
      <c r="J210" s="77" t="n">
        <f aca="false">IF(AND(F210=1,I210="A"),1,0)</f>
        <v>0</v>
      </c>
      <c r="K210" s="77" t="n">
        <f aca="false">IF(AND(F210=1,I210="G"),1,0)</f>
        <v>0</v>
      </c>
      <c r="L210" s="77" t="n">
        <f aca="false">IF(AND(F210=1,A210&gt;=Impostazioni!$B$8),1,0)</f>
        <v>1</v>
      </c>
      <c r="M210" s="77" t="n">
        <f aca="false">IF(C210=0,3,IF(OR(D210=1,E210=1),2,IF(WEEKDAY(A210,2)&gt;5,1,0)))</f>
        <v>0</v>
      </c>
      <c r="N210" s="77" t="str">
        <f aca="false">IF(OR(I210="A",I210="G"),MAX(N$1:N209)+1,"")</f>
        <v/>
      </c>
    </row>
    <row r="211" customFormat="false" ht="15" hidden="false" customHeight="false" outlineLevel="0" collapsed="false">
      <c r="A211" s="75" t="n">
        <f aca="false">A210+1</f>
        <v>46505</v>
      </c>
      <c r="B211" s="76" t="n">
        <f aca="false">DATE(YEAR(A211),MONTH(A211),1)</f>
        <v>46478</v>
      </c>
      <c r="C211" s="77" t="n">
        <f aca="false">IF(AND(A211&gt;=Impostazioni!$B$4,A211&lt;=Impostazioni!$B$5),1,0)</f>
        <v>1</v>
      </c>
      <c r="D211" s="77" t="n">
        <f aca="false">IF(COUNTIF(Impostazioni!$A$27:$A$56,A211)&gt;0,1,0)</f>
        <v>0</v>
      </c>
      <c r="E211" s="77" t="n">
        <f aca="false">IF(COUNTIFS(Impostazioni!$A$16:$A$23,"&lt;="&amp;A211,Impostazioni!$B$16:$B$23,"&gt;="&amp;A211)&gt;0,1,0)</f>
        <v>0</v>
      </c>
      <c r="F211" s="77" t="n">
        <f aca="false">IF(AND(C211=1,D211=0,E211=0),1,0)</f>
        <v>1</v>
      </c>
      <c r="G211" s="77" t="n">
        <f aca="false">(YEAR(A211)-YEAR(Impostazioni!$B$11))*12+MONTH(A211)-MONTH(Impostazioni!$B$11)</f>
        <v>6</v>
      </c>
      <c r="H211" s="77" t="n">
        <f aca="false">INT((DAY(A211)-1+WEEKDAY(DATE(YEAR(A211),MONTH(A211),1),2)-1)/7)</f>
        <v>4</v>
      </c>
      <c r="I211" s="77" t="str">
        <f aca="false">IF(G211&gt;11,"",INDEX(Calendario!$A$14:$G$193,4+15*G211+2*H211,WEEKDAY(A211,2))&amp;"")</f>
        <v/>
      </c>
      <c r="J211" s="77" t="n">
        <f aca="false">IF(AND(F211=1,I211="A"),1,0)</f>
        <v>0</v>
      </c>
      <c r="K211" s="77" t="n">
        <f aca="false">IF(AND(F211=1,I211="G"),1,0)</f>
        <v>0</v>
      </c>
      <c r="L211" s="77" t="n">
        <f aca="false">IF(AND(F211=1,A211&gt;=Impostazioni!$B$8),1,0)</f>
        <v>1</v>
      </c>
      <c r="M211" s="77" t="n">
        <f aca="false">IF(C211=0,3,IF(OR(D211=1,E211=1),2,IF(WEEKDAY(A211,2)&gt;5,1,0)))</f>
        <v>0</v>
      </c>
      <c r="N211" s="77" t="str">
        <f aca="false">IF(OR(I211="A",I211="G"),MAX(N$1:N210)+1,"")</f>
        <v/>
      </c>
    </row>
    <row r="212" customFormat="false" ht="15" hidden="false" customHeight="false" outlineLevel="0" collapsed="false">
      <c r="A212" s="75" t="n">
        <f aca="false">A211+1</f>
        <v>46506</v>
      </c>
      <c r="B212" s="76" t="n">
        <f aca="false">DATE(YEAR(A212),MONTH(A212),1)</f>
        <v>46478</v>
      </c>
      <c r="C212" s="77" t="n">
        <f aca="false">IF(AND(A212&gt;=Impostazioni!$B$4,A212&lt;=Impostazioni!$B$5),1,0)</f>
        <v>1</v>
      </c>
      <c r="D212" s="77" t="n">
        <f aca="false">IF(COUNTIF(Impostazioni!$A$27:$A$56,A212)&gt;0,1,0)</f>
        <v>0</v>
      </c>
      <c r="E212" s="77" t="n">
        <f aca="false">IF(COUNTIFS(Impostazioni!$A$16:$A$23,"&lt;="&amp;A212,Impostazioni!$B$16:$B$23,"&gt;="&amp;A212)&gt;0,1,0)</f>
        <v>0</v>
      </c>
      <c r="F212" s="77" t="n">
        <f aca="false">IF(AND(C212=1,D212=0,E212=0),1,0)</f>
        <v>1</v>
      </c>
      <c r="G212" s="77" t="n">
        <f aca="false">(YEAR(A212)-YEAR(Impostazioni!$B$11))*12+MONTH(A212)-MONTH(Impostazioni!$B$11)</f>
        <v>6</v>
      </c>
      <c r="H212" s="77" t="n">
        <f aca="false">INT((DAY(A212)-1+WEEKDAY(DATE(YEAR(A212),MONTH(A212),1),2)-1)/7)</f>
        <v>4</v>
      </c>
      <c r="I212" s="77" t="str">
        <f aca="false">IF(G212&gt;11,"",INDEX(Calendario!$A$14:$G$193,4+15*G212+2*H212,WEEKDAY(A212,2))&amp;"")</f>
        <v/>
      </c>
      <c r="J212" s="77" t="n">
        <f aca="false">IF(AND(F212=1,I212="A"),1,0)</f>
        <v>0</v>
      </c>
      <c r="K212" s="77" t="n">
        <f aca="false">IF(AND(F212=1,I212="G"),1,0)</f>
        <v>0</v>
      </c>
      <c r="L212" s="77" t="n">
        <f aca="false">IF(AND(F212=1,A212&gt;=Impostazioni!$B$8),1,0)</f>
        <v>1</v>
      </c>
      <c r="M212" s="77" t="n">
        <f aca="false">IF(C212=0,3,IF(OR(D212=1,E212=1),2,IF(WEEKDAY(A212,2)&gt;5,1,0)))</f>
        <v>0</v>
      </c>
      <c r="N212" s="77" t="str">
        <f aca="false">IF(OR(I212="A",I212="G"),MAX(N$1:N211)+1,"")</f>
        <v/>
      </c>
    </row>
    <row r="213" customFormat="false" ht="15" hidden="false" customHeight="false" outlineLevel="0" collapsed="false">
      <c r="A213" s="75" t="n">
        <f aca="false">A212+1</f>
        <v>46507</v>
      </c>
      <c r="B213" s="76" t="n">
        <f aca="false">DATE(YEAR(A213),MONTH(A213),1)</f>
        <v>46478</v>
      </c>
      <c r="C213" s="77" t="n">
        <f aca="false">IF(AND(A213&gt;=Impostazioni!$B$4,A213&lt;=Impostazioni!$B$5),1,0)</f>
        <v>1</v>
      </c>
      <c r="D213" s="77" t="n">
        <f aca="false">IF(COUNTIF(Impostazioni!$A$27:$A$56,A213)&gt;0,1,0)</f>
        <v>0</v>
      </c>
      <c r="E213" s="77" t="n">
        <f aca="false">IF(COUNTIFS(Impostazioni!$A$16:$A$23,"&lt;="&amp;A213,Impostazioni!$B$16:$B$23,"&gt;="&amp;A213)&gt;0,1,0)</f>
        <v>0</v>
      </c>
      <c r="F213" s="77" t="n">
        <f aca="false">IF(AND(C213=1,D213=0,E213=0),1,0)</f>
        <v>1</v>
      </c>
      <c r="G213" s="77" t="n">
        <f aca="false">(YEAR(A213)-YEAR(Impostazioni!$B$11))*12+MONTH(A213)-MONTH(Impostazioni!$B$11)</f>
        <v>6</v>
      </c>
      <c r="H213" s="77" t="n">
        <f aca="false">INT((DAY(A213)-1+WEEKDAY(DATE(YEAR(A213),MONTH(A213),1),2)-1)/7)</f>
        <v>4</v>
      </c>
      <c r="I213" s="77" t="str">
        <f aca="false">IF(G213&gt;11,"",INDEX(Calendario!$A$14:$G$193,4+15*G213+2*H213,WEEKDAY(A213,2))&amp;"")</f>
        <v/>
      </c>
      <c r="J213" s="77" t="n">
        <f aca="false">IF(AND(F213=1,I213="A"),1,0)</f>
        <v>0</v>
      </c>
      <c r="K213" s="77" t="n">
        <f aca="false">IF(AND(F213=1,I213="G"),1,0)</f>
        <v>0</v>
      </c>
      <c r="L213" s="77" t="n">
        <f aca="false">IF(AND(F213=1,A213&gt;=Impostazioni!$B$8),1,0)</f>
        <v>1</v>
      </c>
      <c r="M213" s="77" t="n">
        <f aca="false">IF(C213=0,3,IF(OR(D213=1,E213=1),2,IF(WEEKDAY(A213,2)&gt;5,1,0)))</f>
        <v>0</v>
      </c>
      <c r="N213" s="77" t="str">
        <f aca="false">IF(OR(I213="A",I213="G"),MAX(N$1:N212)+1,"")</f>
        <v/>
      </c>
    </row>
    <row r="214" customFormat="false" ht="15" hidden="false" customHeight="false" outlineLevel="0" collapsed="false">
      <c r="A214" s="75" t="n">
        <f aca="false">A213+1</f>
        <v>46508</v>
      </c>
      <c r="B214" s="76" t="n">
        <f aca="false">DATE(YEAR(A214),MONTH(A214),1)</f>
        <v>46508</v>
      </c>
      <c r="C214" s="77" t="n">
        <f aca="false">IF(AND(A214&gt;=Impostazioni!$B$4,A214&lt;=Impostazioni!$B$5),1,0)</f>
        <v>1</v>
      </c>
      <c r="D214" s="77" t="n">
        <f aca="false">IF(COUNTIF(Impostazioni!$A$27:$A$56,A214)&gt;0,1,0)</f>
        <v>1</v>
      </c>
      <c r="E214" s="77" t="n">
        <f aca="false">IF(COUNTIFS(Impostazioni!$A$16:$A$23,"&lt;="&amp;A214,Impostazioni!$B$16:$B$23,"&gt;="&amp;A214)&gt;0,1,0)</f>
        <v>0</v>
      </c>
      <c r="F214" s="77" t="n">
        <f aca="false">IF(AND(C214=1,D214=0,E214=0),1,0)</f>
        <v>0</v>
      </c>
      <c r="G214" s="77" t="n">
        <f aca="false">(YEAR(A214)-YEAR(Impostazioni!$B$11))*12+MONTH(A214)-MONTH(Impostazioni!$B$11)</f>
        <v>7</v>
      </c>
      <c r="H214" s="77" t="n">
        <f aca="false">INT((DAY(A214)-1+WEEKDAY(DATE(YEAR(A214),MONTH(A214),1),2)-1)/7)</f>
        <v>0</v>
      </c>
      <c r="I214" s="77" t="str">
        <f aca="false">IF(G214&gt;11,"",INDEX(Calendario!$A$14:$G$193,4+15*G214+2*H214,WEEKDAY(A214,2))&amp;"")</f>
        <v/>
      </c>
      <c r="J214" s="77" t="n">
        <f aca="false">IF(AND(F214=1,I214="A"),1,0)</f>
        <v>0</v>
      </c>
      <c r="K214" s="77" t="n">
        <f aca="false">IF(AND(F214=1,I214="G"),1,0)</f>
        <v>0</v>
      </c>
      <c r="L214" s="77" t="n">
        <f aca="false">IF(AND(F214=1,A214&gt;=Impostazioni!$B$8),1,0)</f>
        <v>0</v>
      </c>
      <c r="M214" s="77" t="n">
        <f aca="false">IF(C214=0,3,IF(OR(D214=1,E214=1),2,IF(WEEKDAY(A214,2)&gt;5,1,0)))</f>
        <v>2</v>
      </c>
      <c r="N214" s="77" t="str">
        <f aca="false">IF(OR(I214="A",I214="G"),MAX(N$1:N213)+1,"")</f>
        <v/>
      </c>
    </row>
    <row r="215" customFormat="false" ht="15" hidden="false" customHeight="false" outlineLevel="0" collapsed="false">
      <c r="A215" s="75" t="n">
        <f aca="false">A214+1</f>
        <v>46509</v>
      </c>
      <c r="B215" s="76" t="n">
        <f aca="false">DATE(YEAR(A215),MONTH(A215),1)</f>
        <v>46508</v>
      </c>
      <c r="C215" s="77" t="n">
        <f aca="false">IF(AND(A215&gt;=Impostazioni!$B$4,A215&lt;=Impostazioni!$B$5),1,0)</f>
        <v>1</v>
      </c>
      <c r="D215" s="77" t="n">
        <f aca="false">IF(COUNTIF(Impostazioni!$A$27:$A$56,A215)&gt;0,1,0)</f>
        <v>0</v>
      </c>
      <c r="E215" s="77" t="n">
        <f aca="false">IF(COUNTIFS(Impostazioni!$A$16:$A$23,"&lt;="&amp;A215,Impostazioni!$B$16:$B$23,"&gt;="&amp;A215)&gt;0,1,0)</f>
        <v>0</v>
      </c>
      <c r="F215" s="77" t="n">
        <f aca="false">IF(AND(C215=1,D215=0,E215=0),1,0)</f>
        <v>1</v>
      </c>
      <c r="G215" s="77" t="n">
        <f aca="false">(YEAR(A215)-YEAR(Impostazioni!$B$11))*12+MONTH(A215)-MONTH(Impostazioni!$B$11)</f>
        <v>7</v>
      </c>
      <c r="H215" s="77" t="n">
        <f aca="false">INT((DAY(A215)-1+WEEKDAY(DATE(YEAR(A215),MONTH(A215),1),2)-1)/7)</f>
        <v>0</v>
      </c>
      <c r="I215" s="77" t="str">
        <f aca="false">IF(G215&gt;11,"",INDEX(Calendario!$A$14:$G$193,4+15*G215+2*H215,WEEKDAY(A215,2))&amp;"")</f>
        <v/>
      </c>
      <c r="J215" s="77" t="n">
        <f aca="false">IF(AND(F215=1,I215="A"),1,0)</f>
        <v>0</v>
      </c>
      <c r="K215" s="77" t="n">
        <f aca="false">IF(AND(F215=1,I215="G"),1,0)</f>
        <v>0</v>
      </c>
      <c r="L215" s="77" t="n">
        <f aca="false">IF(AND(F215=1,A215&gt;=Impostazioni!$B$8),1,0)</f>
        <v>1</v>
      </c>
      <c r="M215" s="77" t="n">
        <f aca="false">IF(C215=0,3,IF(OR(D215=1,E215=1),2,IF(WEEKDAY(A215,2)&gt;5,1,0)))</f>
        <v>1</v>
      </c>
      <c r="N215" s="77" t="str">
        <f aca="false">IF(OR(I215="A",I215="G"),MAX(N$1:N214)+1,"")</f>
        <v/>
      </c>
    </row>
    <row r="216" customFormat="false" ht="15" hidden="false" customHeight="false" outlineLevel="0" collapsed="false">
      <c r="A216" s="75" t="n">
        <f aca="false">A215+1</f>
        <v>46510</v>
      </c>
      <c r="B216" s="76" t="n">
        <f aca="false">DATE(YEAR(A216),MONTH(A216),1)</f>
        <v>46508</v>
      </c>
      <c r="C216" s="77" t="n">
        <f aca="false">IF(AND(A216&gt;=Impostazioni!$B$4,A216&lt;=Impostazioni!$B$5),1,0)</f>
        <v>1</v>
      </c>
      <c r="D216" s="77" t="n">
        <f aca="false">IF(COUNTIF(Impostazioni!$A$27:$A$56,A216)&gt;0,1,0)</f>
        <v>0</v>
      </c>
      <c r="E216" s="77" t="n">
        <f aca="false">IF(COUNTIFS(Impostazioni!$A$16:$A$23,"&lt;="&amp;A216,Impostazioni!$B$16:$B$23,"&gt;="&amp;A216)&gt;0,1,0)</f>
        <v>0</v>
      </c>
      <c r="F216" s="77" t="n">
        <f aca="false">IF(AND(C216=1,D216=0,E216=0),1,0)</f>
        <v>1</v>
      </c>
      <c r="G216" s="77" t="n">
        <f aca="false">(YEAR(A216)-YEAR(Impostazioni!$B$11))*12+MONTH(A216)-MONTH(Impostazioni!$B$11)</f>
        <v>7</v>
      </c>
      <c r="H216" s="77" t="n">
        <f aca="false">INT((DAY(A216)-1+WEEKDAY(DATE(YEAR(A216),MONTH(A216),1),2)-1)/7)</f>
        <v>1</v>
      </c>
      <c r="I216" s="77" t="str">
        <f aca="false">IF(G216&gt;11,"",INDEX(Calendario!$A$14:$G$193,4+15*G216+2*H216,WEEKDAY(A216,2))&amp;"")</f>
        <v/>
      </c>
      <c r="J216" s="77" t="n">
        <f aca="false">IF(AND(F216=1,I216="A"),1,0)</f>
        <v>0</v>
      </c>
      <c r="K216" s="77" t="n">
        <f aca="false">IF(AND(F216=1,I216="G"),1,0)</f>
        <v>0</v>
      </c>
      <c r="L216" s="77" t="n">
        <f aca="false">IF(AND(F216=1,A216&gt;=Impostazioni!$B$8),1,0)</f>
        <v>1</v>
      </c>
      <c r="M216" s="77" t="n">
        <f aca="false">IF(C216=0,3,IF(OR(D216=1,E216=1),2,IF(WEEKDAY(A216,2)&gt;5,1,0)))</f>
        <v>0</v>
      </c>
      <c r="N216" s="77" t="str">
        <f aca="false">IF(OR(I216="A",I216="G"),MAX(N$1:N215)+1,"")</f>
        <v/>
      </c>
    </row>
    <row r="217" customFormat="false" ht="15" hidden="false" customHeight="false" outlineLevel="0" collapsed="false">
      <c r="A217" s="75" t="n">
        <f aca="false">A216+1</f>
        <v>46511</v>
      </c>
      <c r="B217" s="76" t="n">
        <f aca="false">DATE(YEAR(A217),MONTH(A217),1)</f>
        <v>46508</v>
      </c>
      <c r="C217" s="77" t="n">
        <f aca="false">IF(AND(A217&gt;=Impostazioni!$B$4,A217&lt;=Impostazioni!$B$5),1,0)</f>
        <v>1</v>
      </c>
      <c r="D217" s="77" t="n">
        <f aca="false">IF(COUNTIF(Impostazioni!$A$27:$A$56,A217)&gt;0,1,0)</f>
        <v>0</v>
      </c>
      <c r="E217" s="77" t="n">
        <f aca="false">IF(COUNTIFS(Impostazioni!$A$16:$A$23,"&lt;="&amp;A217,Impostazioni!$B$16:$B$23,"&gt;="&amp;A217)&gt;0,1,0)</f>
        <v>0</v>
      </c>
      <c r="F217" s="77" t="n">
        <f aca="false">IF(AND(C217=1,D217=0,E217=0),1,0)</f>
        <v>1</v>
      </c>
      <c r="G217" s="77" t="n">
        <f aca="false">(YEAR(A217)-YEAR(Impostazioni!$B$11))*12+MONTH(A217)-MONTH(Impostazioni!$B$11)</f>
        <v>7</v>
      </c>
      <c r="H217" s="77" t="n">
        <f aca="false">INT((DAY(A217)-1+WEEKDAY(DATE(YEAR(A217),MONTH(A217),1),2)-1)/7)</f>
        <v>1</v>
      </c>
      <c r="I217" s="77" t="str">
        <f aca="false">IF(G217&gt;11,"",INDEX(Calendario!$A$14:$G$193,4+15*G217+2*H217,WEEKDAY(A217,2))&amp;"")</f>
        <v/>
      </c>
      <c r="J217" s="77" t="n">
        <f aca="false">IF(AND(F217=1,I217="A"),1,0)</f>
        <v>0</v>
      </c>
      <c r="K217" s="77" t="n">
        <f aca="false">IF(AND(F217=1,I217="G"),1,0)</f>
        <v>0</v>
      </c>
      <c r="L217" s="77" t="n">
        <f aca="false">IF(AND(F217=1,A217&gt;=Impostazioni!$B$8),1,0)</f>
        <v>1</v>
      </c>
      <c r="M217" s="77" t="n">
        <f aca="false">IF(C217=0,3,IF(OR(D217=1,E217=1),2,IF(WEEKDAY(A217,2)&gt;5,1,0)))</f>
        <v>0</v>
      </c>
      <c r="N217" s="77" t="str">
        <f aca="false">IF(OR(I217="A",I217="G"),MAX(N$1:N216)+1,"")</f>
        <v/>
      </c>
    </row>
    <row r="218" customFormat="false" ht="15" hidden="false" customHeight="false" outlineLevel="0" collapsed="false">
      <c r="A218" s="75" t="n">
        <f aca="false">A217+1</f>
        <v>46512</v>
      </c>
      <c r="B218" s="76" t="n">
        <f aca="false">DATE(YEAR(A218),MONTH(A218),1)</f>
        <v>46508</v>
      </c>
      <c r="C218" s="77" t="n">
        <f aca="false">IF(AND(A218&gt;=Impostazioni!$B$4,A218&lt;=Impostazioni!$B$5),1,0)</f>
        <v>1</v>
      </c>
      <c r="D218" s="77" t="n">
        <f aca="false">IF(COUNTIF(Impostazioni!$A$27:$A$56,A218)&gt;0,1,0)</f>
        <v>0</v>
      </c>
      <c r="E218" s="77" t="n">
        <f aca="false">IF(COUNTIFS(Impostazioni!$A$16:$A$23,"&lt;="&amp;A218,Impostazioni!$B$16:$B$23,"&gt;="&amp;A218)&gt;0,1,0)</f>
        <v>0</v>
      </c>
      <c r="F218" s="77" t="n">
        <f aca="false">IF(AND(C218=1,D218=0,E218=0),1,0)</f>
        <v>1</v>
      </c>
      <c r="G218" s="77" t="n">
        <f aca="false">(YEAR(A218)-YEAR(Impostazioni!$B$11))*12+MONTH(A218)-MONTH(Impostazioni!$B$11)</f>
        <v>7</v>
      </c>
      <c r="H218" s="77" t="n">
        <f aca="false">INT((DAY(A218)-1+WEEKDAY(DATE(YEAR(A218),MONTH(A218),1),2)-1)/7)</f>
        <v>1</v>
      </c>
      <c r="I218" s="77" t="str">
        <f aca="false">IF(G218&gt;11,"",INDEX(Calendario!$A$14:$G$193,4+15*G218+2*H218,WEEKDAY(A218,2))&amp;"")</f>
        <v/>
      </c>
      <c r="J218" s="77" t="n">
        <f aca="false">IF(AND(F218=1,I218="A"),1,0)</f>
        <v>0</v>
      </c>
      <c r="K218" s="77" t="n">
        <f aca="false">IF(AND(F218=1,I218="G"),1,0)</f>
        <v>0</v>
      </c>
      <c r="L218" s="77" t="n">
        <f aca="false">IF(AND(F218=1,A218&gt;=Impostazioni!$B$8),1,0)</f>
        <v>1</v>
      </c>
      <c r="M218" s="77" t="n">
        <f aca="false">IF(C218=0,3,IF(OR(D218=1,E218=1),2,IF(WEEKDAY(A218,2)&gt;5,1,0)))</f>
        <v>0</v>
      </c>
      <c r="N218" s="77" t="str">
        <f aca="false">IF(OR(I218="A",I218="G"),MAX(N$1:N217)+1,"")</f>
        <v/>
      </c>
    </row>
    <row r="219" customFormat="false" ht="15" hidden="false" customHeight="false" outlineLevel="0" collapsed="false">
      <c r="A219" s="75" t="n">
        <f aca="false">A218+1</f>
        <v>46513</v>
      </c>
      <c r="B219" s="76" t="n">
        <f aca="false">DATE(YEAR(A219),MONTH(A219),1)</f>
        <v>46508</v>
      </c>
      <c r="C219" s="77" t="n">
        <f aca="false">IF(AND(A219&gt;=Impostazioni!$B$4,A219&lt;=Impostazioni!$B$5),1,0)</f>
        <v>1</v>
      </c>
      <c r="D219" s="77" t="n">
        <f aca="false">IF(COUNTIF(Impostazioni!$A$27:$A$56,A219)&gt;0,1,0)</f>
        <v>0</v>
      </c>
      <c r="E219" s="77" t="n">
        <f aca="false">IF(COUNTIFS(Impostazioni!$A$16:$A$23,"&lt;="&amp;A219,Impostazioni!$B$16:$B$23,"&gt;="&amp;A219)&gt;0,1,0)</f>
        <v>0</v>
      </c>
      <c r="F219" s="77" t="n">
        <f aca="false">IF(AND(C219=1,D219=0,E219=0),1,0)</f>
        <v>1</v>
      </c>
      <c r="G219" s="77" t="n">
        <f aca="false">(YEAR(A219)-YEAR(Impostazioni!$B$11))*12+MONTH(A219)-MONTH(Impostazioni!$B$11)</f>
        <v>7</v>
      </c>
      <c r="H219" s="77" t="n">
        <f aca="false">INT((DAY(A219)-1+WEEKDAY(DATE(YEAR(A219),MONTH(A219),1),2)-1)/7)</f>
        <v>1</v>
      </c>
      <c r="I219" s="77" t="str">
        <f aca="false">IF(G219&gt;11,"",INDEX(Calendario!$A$14:$G$193,4+15*G219+2*H219,WEEKDAY(A219,2))&amp;"")</f>
        <v/>
      </c>
      <c r="J219" s="77" t="n">
        <f aca="false">IF(AND(F219=1,I219="A"),1,0)</f>
        <v>0</v>
      </c>
      <c r="K219" s="77" t="n">
        <f aca="false">IF(AND(F219=1,I219="G"),1,0)</f>
        <v>0</v>
      </c>
      <c r="L219" s="77" t="n">
        <f aca="false">IF(AND(F219=1,A219&gt;=Impostazioni!$B$8),1,0)</f>
        <v>1</v>
      </c>
      <c r="M219" s="77" t="n">
        <f aca="false">IF(C219=0,3,IF(OR(D219=1,E219=1),2,IF(WEEKDAY(A219,2)&gt;5,1,0)))</f>
        <v>0</v>
      </c>
      <c r="N219" s="77" t="str">
        <f aca="false">IF(OR(I219="A",I219="G"),MAX(N$1:N218)+1,"")</f>
        <v/>
      </c>
    </row>
    <row r="220" customFormat="false" ht="15" hidden="false" customHeight="false" outlineLevel="0" collapsed="false">
      <c r="A220" s="75" t="n">
        <f aca="false">A219+1</f>
        <v>46514</v>
      </c>
      <c r="B220" s="76" t="n">
        <f aca="false">DATE(YEAR(A220),MONTH(A220),1)</f>
        <v>46508</v>
      </c>
      <c r="C220" s="77" t="n">
        <f aca="false">IF(AND(A220&gt;=Impostazioni!$B$4,A220&lt;=Impostazioni!$B$5),1,0)</f>
        <v>1</v>
      </c>
      <c r="D220" s="77" t="n">
        <f aca="false">IF(COUNTIF(Impostazioni!$A$27:$A$56,A220)&gt;0,1,0)</f>
        <v>0</v>
      </c>
      <c r="E220" s="77" t="n">
        <f aca="false">IF(COUNTIFS(Impostazioni!$A$16:$A$23,"&lt;="&amp;A220,Impostazioni!$B$16:$B$23,"&gt;="&amp;A220)&gt;0,1,0)</f>
        <v>0</v>
      </c>
      <c r="F220" s="77" t="n">
        <f aca="false">IF(AND(C220=1,D220=0,E220=0),1,0)</f>
        <v>1</v>
      </c>
      <c r="G220" s="77" t="n">
        <f aca="false">(YEAR(A220)-YEAR(Impostazioni!$B$11))*12+MONTH(A220)-MONTH(Impostazioni!$B$11)</f>
        <v>7</v>
      </c>
      <c r="H220" s="77" t="n">
        <f aca="false">INT((DAY(A220)-1+WEEKDAY(DATE(YEAR(A220),MONTH(A220),1),2)-1)/7)</f>
        <v>1</v>
      </c>
      <c r="I220" s="77" t="str">
        <f aca="false">IF(G220&gt;11,"",INDEX(Calendario!$A$14:$G$193,4+15*G220+2*H220,WEEKDAY(A220,2))&amp;"")</f>
        <v/>
      </c>
      <c r="J220" s="77" t="n">
        <f aca="false">IF(AND(F220=1,I220="A"),1,0)</f>
        <v>0</v>
      </c>
      <c r="K220" s="77" t="n">
        <f aca="false">IF(AND(F220=1,I220="G"),1,0)</f>
        <v>0</v>
      </c>
      <c r="L220" s="77" t="n">
        <f aca="false">IF(AND(F220=1,A220&gt;=Impostazioni!$B$8),1,0)</f>
        <v>1</v>
      </c>
      <c r="M220" s="77" t="n">
        <f aca="false">IF(C220=0,3,IF(OR(D220=1,E220=1),2,IF(WEEKDAY(A220,2)&gt;5,1,0)))</f>
        <v>0</v>
      </c>
      <c r="N220" s="77" t="str">
        <f aca="false">IF(OR(I220="A",I220="G"),MAX(N$1:N219)+1,"")</f>
        <v/>
      </c>
    </row>
    <row r="221" customFormat="false" ht="15" hidden="false" customHeight="false" outlineLevel="0" collapsed="false">
      <c r="A221" s="75" t="n">
        <f aca="false">A220+1</f>
        <v>46515</v>
      </c>
      <c r="B221" s="76" t="n">
        <f aca="false">DATE(YEAR(A221),MONTH(A221),1)</f>
        <v>46508</v>
      </c>
      <c r="C221" s="77" t="n">
        <f aca="false">IF(AND(A221&gt;=Impostazioni!$B$4,A221&lt;=Impostazioni!$B$5),1,0)</f>
        <v>1</v>
      </c>
      <c r="D221" s="77" t="n">
        <f aca="false">IF(COUNTIF(Impostazioni!$A$27:$A$56,A221)&gt;0,1,0)</f>
        <v>0</v>
      </c>
      <c r="E221" s="77" t="n">
        <f aca="false">IF(COUNTIFS(Impostazioni!$A$16:$A$23,"&lt;="&amp;A221,Impostazioni!$B$16:$B$23,"&gt;="&amp;A221)&gt;0,1,0)</f>
        <v>0</v>
      </c>
      <c r="F221" s="77" t="n">
        <f aca="false">IF(AND(C221=1,D221=0,E221=0),1,0)</f>
        <v>1</v>
      </c>
      <c r="G221" s="77" t="n">
        <f aca="false">(YEAR(A221)-YEAR(Impostazioni!$B$11))*12+MONTH(A221)-MONTH(Impostazioni!$B$11)</f>
        <v>7</v>
      </c>
      <c r="H221" s="77" t="n">
        <f aca="false">INT((DAY(A221)-1+WEEKDAY(DATE(YEAR(A221),MONTH(A221),1),2)-1)/7)</f>
        <v>1</v>
      </c>
      <c r="I221" s="77" t="str">
        <f aca="false">IF(G221&gt;11,"",INDEX(Calendario!$A$14:$G$193,4+15*G221+2*H221,WEEKDAY(A221,2))&amp;"")</f>
        <v/>
      </c>
      <c r="J221" s="77" t="n">
        <f aca="false">IF(AND(F221=1,I221="A"),1,0)</f>
        <v>0</v>
      </c>
      <c r="K221" s="77" t="n">
        <f aca="false">IF(AND(F221=1,I221="G"),1,0)</f>
        <v>0</v>
      </c>
      <c r="L221" s="77" t="n">
        <f aca="false">IF(AND(F221=1,A221&gt;=Impostazioni!$B$8),1,0)</f>
        <v>1</v>
      </c>
      <c r="M221" s="77" t="n">
        <f aca="false">IF(C221=0,3,IF(OR(D221=1,E221=1),2,IF(WEEKDAY(A221,2)&gt;5,1,0)))</f>
        <v>1</v>
      </c>
      <c r="N221" s="77" t="str">
        <f aca="false">IF(OR(I221="A",I221="G"),MAX(N$1:N220)+1,"")</f>
        <v/>
      </c>
    </row>
    <row r="222" customFormat="false" ht="15" hidden="false" customHeight="false" outlineLevel="0" collapsed="false">
      <c r="A222" s="75" t="n">
        <f aca="false">A221+1</f>
        <v>46516</v>
      </c>
      <c r="B222" s="76" t="n">
        <f aca="false">DATE(YEAR(A222),MONTH(A222),1)</f>
        <v>46508</v>
      </c>
      <c r="C222" s="77" t="n">
        <f aca="false">IF(AND(A222&gt;=Impostazioni!$B$4,A222&lt;=Impostazioni!$B$5),1,0)</f>
        <v>1</v>
      </c>
      <c r="D222" s="77" t="n">
        <f aca="false">IF(COUNTIF(Impostazioni!$A$27:$A$56,A222)&gt;0,1,0)</f>
        <v>0</v>
      </c>
      <c r="E222" s="77" t="n">
        <f aca="false">IF(COUNTIFS(Impostazioni!$A$16:$A$23,"&lt;="&amp;A222,Impostazioni!$B$16:$B$23,"&gt;="&amp;A222)&gt;0,1,0)</f>
        <v>0</v>
      </c>
      <c r="F222" s="77" t="n">
        <f aca="false">IF(AND(C222=1,D222=0,E222=0),1,0)</f>
        <v>1</v>
      </c>
      <c r="G222" s="77" t="n">
        <f aca="false">(YEAR(A222)-YEAR(Impostazioni!$B$11))*12+MONTH(A222)-MONTH(Impostazioni!$B$11)</f>
        <v>7</v>
      </c>
      <c r="H222" s="77" t="n">
        <f aca="false">INT((DAY(A222)-1+WEEKDAY(DATE(YEAR(A222),MONTH(A222),1),2)-1)/7)</f>
        <v>1</v>
      </c>
      <c r="I222" s="77" t="str">
        <f aca="false">IF(G222&gt;11,"",INDEX(Calendario!$A$14:$G$193,4+15*G222+2*H222,WEEKDAY(A222,2))&amp;"")</f>
        <v/>
      </c>
      <c r="J222" s="77" t="n">
        <f aca="false">IF(AND(F222=1,I222="A"),1,0)</f>
        <v>0</v>
      </c>
      <c r="K222" s="77" t="n">
        <f aca="false">IF(AND(F222=1,I222="G"),1,0)</f>
        <v>0</v>
      </c>
      <c r="L222" s="77" t="n">
        <f aca="false">IF(AND(F222=1,A222&gt;=Impostazioni!$B$8),1,0)</f>
        <v>1</v>
      </c>
      <c r="M222" s="77" t="n">
        <f aca="false">IF(C222=0,3,IF(OR(D222=1,E222=1),2,IF(WEEKDAY(A222,2)&gt;5,1,0)))</f>
        <v>1</v>
      </c>
      <c r="N222" s="77" t="str">
        <f aca="false">IF(OR(I222="A",I222="G"),MAX(N$1:N221)+1,"")</f>
        <v/>
      </c>
    </row>
    <row r="223" customFormat="false" ht="15" hidden="false" customHeight="false" outlineLevel="0" collapsed="false">
      <c r="A223" s="75" t="n">
        <f aca="false">A222+1</f>
        <v>46517</v>
      </c>
      <c r="B223" s="76" t="n">
        <f aca="false">DATE(YEAR(A223),MONTH(A223),1)</f>
        <v>46508</v>
      </c>
      <c r="C223" s="77" t="n">
        <f aca="false">IF(AND(A223&gt;=Impostazioni!$B$4,A223&lt;=Impostazioni!$B$5),1,0)</f>
        <v>1</v>
      </c>
      <c r="D223" s="77" t="n">
        <f aca="false">IF(COUNTIF(Impostazioni!$A$27:$A$56,A223)&gt;0,1,0)</f>
        <v>0</v>
      </c>
      <c r="E223" s="77" t="n">
        <f aca="false">IF(COUNTIFS(Impostazioni!$A$16:$A$23,"&lt;="&amp;A223,Impostazioni!$B$16:$B$23,"&gt;="&amp;A223)&gt;0,1,0)</f>
        <v>0</v>
      </c>
      <c r="F223" s="77" t="n">
        <f aca="false">IF(AND(C223=1,D223=0,E223=0),1,0)</f>
        <v>1</v>
      </c>
      <c r="G223" s="77" t="n">
        <f aca="false">(YEAR(A223)-YEAR(Impostazioni!$B$11))*12+MONTH(A223)-MONTH(Impostazioni!$B$11)</f>
        <v>7</v>
      </c>
      <c r="H223" s="77" t="n">
        <f aca="false">INT((DAY(A223)-1+WEEKDAY(DATE(YEAR(A223),MONTH(A223),1),2)-1)/7)</f>
        <v>2</v>
      </c>
      <c r="I223" s="77" t="str">
        <f aca="false">IF(G223&gt;11,"",INDEX(Calendario!$A$14:$G$193,4+15*G223+2*H223,WEEKDAY(A223,2))&amp;"")</f>
        <v/>
      </c>
      <c r="J223" s="77" t="n">
        <f aca="false">IF(AND(F223=1,I223="A"),1,0)</f>
        <v>0</v>
      </c>
      <c r="K223" s="77" t="n">
        <f aca="false">IF(AND(F223=1,I223="G"),1,0)</f>
        <v>0</v>
      </c>
      <c r="L223" s="77" t="n">
        <f aca="false">IF(AND(F223=1,A223&gt;=Impostazioni!$B$8),1,0)</f>
        <v>1</v>
      </c>
      <c r="M223" s="77" t="n">
        <f aca="false">IF(C223=0,3,IF(OR(D223=1,E223=1),2,IF(WEEKDAY(A223,2)&gt;5,1,0)))</f>
        <v>0</v>
      </c>
      <c r="N223" s="77" t="str">
        <f aca="false">IF(OR(I223="A",I223="G"),MAX(N$1:N222)+1,"")</f>
        <v/>
      </c>
    </row>
    <row r="224" customFormat="false" ht="15" hidden="false" customHeight="false" outlineLevel="0" collapsed="false">
      <c r="A224" s="75" t="n">
        <f aca="false">A223+1</f>
        <v>46518</v>
      </c>
      <c r="B224" s="76" t="n">
        <f aca="false">DATE(YEAR(A224),MONTH(A224),1)</f>
        <v>46508</v>
      </c>
      <c r="C224" s="77" t="n">
        <f aca="false">IF(AND(A224&gt;=Impostazioni!$B$4,A224&lt;=Impostazioni!$B$5),1,0)</f>
        <v>1</v>
      </c>
      <c r="D224" s="77" t="n">
        <f aca="false">IF(COUNTIF(Impostazioni!$A$27:$A$56,A224)&gt;0,1,0)</f>
        <v>0</v>
      </c>
      <c r="E224" s="77" t="n">
        <f aca="false">IF(COUNTIFS(Impostazioni!$A$16:$A$23,"&lt;="&amp;A224,Impostazioni!$B$16:$B$23,"&gt;="&amp;A224)&gt;0,1,0)</f>
        <v>0</v>
      </c>
      <c r="F224" s="77" t="n">
        <f aca="false">IF(AND(C224=1,D224=0,E224=0),1,0)</f>
        <v>1</v>
      </c>
      <c r="G224" s="77" t="n">
        <f aca="false">(YEAR(A224)-YEAR(Impostazioni!$B$11))*12+MONTH(A224)-MONTH(Impostazioni!$B$11)</f>
        <v>7</v>
      </c>
      <c r="H224" s="77" t="n">
        <f aca="false">INT((DAY(A224)-1+WEEKDAY(DATE(YEAR(A224),MONTH(A224),1),2)-1)/7)</f>
        <v>2</v>
      </c>
      <c r="I224" s="77" t="str">
        <f aca="false">IF(G224&gt;11,"",INDEX(Calendario!$A$14:$G$193,4+15*G224+2*H224,WEEKDAY(A224,2))&amp;"")</f>
        <v/>
      </c>
      <c r="J224" s="77" t="n">
        <f aca="false">IF(AND(F224=1,I224="A"),1,0)</f>
        <v>0</v>
      </c>
      <c r="K224" s="77" t="n">
        <f aca="false">IF(AND(F224=1,I224="G"),1,0)</f>
        <v>0</v>
      </c>
      <c r="L224" s="77" t="n">
        <f aca="false">IF(AND(F224=1,A224&gt;=Impostazioni!$B$8),1,0)</f>
        <v>1</v>
      </c>
      <c r="M224" s="77" t="n">
        <f aca="false">IF(C224=0,3,IF(OR(D224=1,E224=1),2,IF(WEEKDAY(A224,2)&gt;5,1,0)))</f>
        <v>0</v>
      </c>
      <c r="N224" s="77" t="str">
        <f aca="false">IF(OR(I224="A",I224="G"),MAX(N$1:N223)+1,"")</f>
        <v/>
      </c>
    </row>
    <row r="225" customFormat="false" ht="15" hidden="false" customHeight="false" outlineLevel="0" collapsed="false">
      <c r="A225" s="75" t="n">
        <f aca="false">A224+1</f>
        <v>46519</v>
      </c>
      <c r="B225" s="76" t="n">
        <f aca="false">DATE(YEAR(A225),MONTH(A225),1)</f>
        <v>46508</v>
      </c>
      <c r="C225" s="77" t="n">
        <f aca="false">IF(AND(A225&gt;=Impostazioni!$B$4,A225&lt;=Impostazioni!$B$5),1,0)</f>
        <v>1</v>
      </c>
      <c r="D225" s="77" t="n">
        <f aca="false">IF(COUNTIF(Impostazioni!$A$27:$A$56,A225)&gt;0,1,0)</f>
        <v>0</v>
      </c>
      <c r="E225" s="77" t="n">
        <f aca="false">IF(COUNTIFS(Impostazioni!$A$16:$A$23,"&lt;="&amp;A225,Impostazioni!$B$16:$B$23,"&gt;="&amp;A225)&gt;0,1,0)</f>
        <v>0</v>
      </c>
      <c r="F225" s="77" t="n">
        <f aca="false">IF(AND(C225=1,D225=0,E225=0),1,0)</f>
        <v>1</v>
      </c>
      <c r="G225" s="77" t="n">
        <f aca="false">(YEAR(A225)-YEAR(Impostazioni!$B$11))*12+MONTH(A225)-MONTH(Impostazioni!$B$11)</f>
        <v>7</v>
      </c>
      <c r="H225" s="77" t="n">
        <f aca="false">INT((DAY(A225)-1+WEEKDAY(DATE(YEAR(A225),MONTH(A225),1),2)-1)/7)</f>
        <v>2</v>
      </c>
      <c r="I225" s="77" t="str">
        <f aca="false">IF(G225&gt;11,"",INDEX(Calendario!$A$14:$G$193,4+15*G225+2*H225,WEEKDAY(A225,2))&amp;"")</f>
        <v/>
      </c>
      <c r="J225" s="77" t="n">
        <f aca="false">IF(AND(F225=1,I225="A"),1,0)</f>
        <v>0</v>
      </c>
      <c r="K225" s="77" t="n">
        <f aca="false">IF(AND(F225=1,I225="G"),1,0)</f>
        <v>0</v>
      </c>
      <c r="L225" s="77" t="n">
        <f aca="false">IF(AND(F225=1,A225&gt;=Impostazioni!$B$8),1,0)</f>
        <v>1</v>
      </c>
      <c r="M225" s="77" t="n">
        <f aca="false">IF(C225=0,3,IF(OR(D225=1,E225=1),2,IF(WEEKDAY(A225,2)&gt;5,1,0)))</f>
        <v>0</v>
      </c>
      <c r="N225" s="77" t="str">
        <f aca="false">IF(OR(I225="A",I225="G"),MAX(N$1:N224)+1,"")</f>
        <v/>
      </c>
    </row>
    <row r="226" customFormat="false" ht="15" hidden="false" customHeight="false" outlineLevel="0" collapsed="false">
      <c r="A226" s="75" t="n">
        <f aca="false">A225+1</f>
        <v>46520</v>
      </c>
      <c r="B226" s="76" t="n">
        <f aca="false">DATE(YEAR(A226),MONTH(A226),1)</f>
        <v>46508</v>
      </c>
      <c r="C226" s="77" t="n">
        <f aca="false">IF(AND(A226&gt;=Impostazioni!$B$4,A226&lt;=Impostazioni!$B$5),1,0)</f>
        <v>1</v>
      </c>
      <c r="D226" s="77" t="n">
        <f aca="false">IF(COUNTIF(Impostazioni!$A$27:$A$56,A226)&gt;0,1,0)</f>
        <v>0</v>
      </c>
      <c r="E226" s="77" t="n">
        <f aca="false">IF(COUNTIFS(Impostazioni!$A$16:$A$23,"&lt;="&amp;A226,Impostazioni!$B$16:$B$23,"&gt;="&amp;A226)&gt;0,1,0)</f>
        <v>0</v>
      </c>
      <c r="F226" s="77" t="n">
        <f aca="false">IF(AND(C226=1,D226=0,E226=0),1,0)</f>
        <v>1</v>
      </c>
      <c r="G226" s="77" t="n">
        <f aca="false">(YEAR(A226)-YEAR(Impostazioni!$B$11))*12+MONTH(A226)-MONTH(Impostazioni!$B$11)</f>
        <v>7</v>
      </c>
      <c r="H226" s="77" t="n">
        <f aca="false">INT((DAY(A226)-1+WEEKDAY(DATE(YEAR(A226),MONTH(A226),1),2)-1)/7)</f>
        <v>2</v>
      </c>
      <c r="I226" s="77" t="str">
        <f aca="false">IF(G226&gt;11,"",INDEX(Calendario!$A$14:$G$193,4+15*G226+2*H226,WEEKDAY(A226,2))&amp;"")</f>
        <v/>
      </c>
      <c r="J226" s="77" t="n">
        <f aca="false">IF(AND(F226=1,I226="A"),1,0)</f>
        <v>0</v>
      </c>
      <c r="K226" s="77" t="n">
        <f aca="false">IF(AND(F226=1,I226="G"),1,0)</f>
        <v>0</v>
      </c>
      <c r="L226" s="77" t="n">
        <f aca="false">IF(AND(F226=1,A226&gt;=Impostazioni!$B$8),1,0)</f>
        <v>1</v>
      </c>
      <c r="M226" s="77" t="n">
        <f aca="false">IF(C226=0,3,IF(OR(D226=1,E226=1),2,IF(WEEKDAY(A226,2)&gt;5,1,0)))</f>
        <v>0</v>
      </c>
      <c r="N226" s="77" t="str">
        <f aca="false">IF(OR(I226="A",I226="G"),MAX(N$1:N225)+1,"")</f>
        <v/>
      </c>
    </row>
    <row r="227" customFormat="false" ht="15" hidden="false" customHeight="false" outlineLevel="0" collapsed="false">
      <c r="A227" s="75" t="n">
        <f aca="false">A226+1</f>
        <v>46521</v>
      </c>
      <c r="B227" s="76" t="n">
        <f aca="false">DATE(YEAR(A227),MONTH(A227),1)</f>
        <v>46508</v>
      </c>
      <c r="C227" s="77" t="n">
        <f aca="false">IF(AND(A227&gt;=Impostazioni!$B$4,A227&lt;=Impostazioni!$B$5),1,0)</f>
        <v>1</v>
      </c>
      <c r="D227" s="77" t="n">
        <f aca="false">IF(COUNTIF(Impostazioni!$A$27:$A$56,A227)&gt;0,1,0)</f>
        <v>0</v>
      </c>
      <c r="E227" s="77" t="n">
        <f aca="false">IF(COUNTIFS(Impostazioni!$A$16:$A$23,"&lt;="&amp;A227,Impostazioni!$B$16:$B$23,"&gt;="&amp;A227)&gt;0,1,0)</f>
        <v>0</v>
      </c>
      <c r="F227" s="77" t="n">
        <f aca="false">IF(AND(C227=1,D227=0,E227=0),1,0)</f>
        <v>1</v>
      </c>
      <c r="G227" s="77" t="n">
        <f aca="false">(YEAR(A227)-YEAR(Impostazioni!$B$11))*12+MONTH(A227)-MONTH(Impostazioni!$B$11)</f>
        <v>7</v>
      </c>
      <c r="H227" s="77" t="n">
        <f aca="false">INT((DAY(A227)-1+WEEKDAY(DATE(YEAR(A227),MONTH(A227),1),2)-1)/7)</f>
        <v>2</v>
      </c>
      <c r="I227" s="77" t="str">
        <f aca="false">IF(G227&gt;11,"",INDEX(Calendario!$A$14:$G$193,4+15*G227+2*H227,WEEKDAY(A227,2))&amp;"")</f>
        <v/>
      </c>
      <c r="J227" s="77" t="n">
        <f aca="false">IF(AND(F227=1,I227="A"),1,0)</f>
        <v>0</v>
      </c>
      <c r="K227" s="77" t="n">
        <f aca="false">IF(AND(F227=1,I227="G"),1,0)</f>
        <v>0</v>
      </c>
      <c r="L227" s="77" t="n">
        <f aca="false">IF(AND(F227=1,A227&gt;=Impostazioni!$B$8),1,0)</f>
        <v>1</v>
      </c>
      <c r="M227" s="77" t="n">
        <f aca="false">IF(C227=0,3,IF(OR(D227=1,E227=1),2,IF(WEEKDAY(A227,2)&gt;5,1,0)))</f>
        <v>0</v>
      </c>
      <c r="N227" s="77" t="str">
        <f aca="false">IF(OR(I227="A",I227="G"),MAX(N$1:N226)+1,"")</f>
        <v/>
      </c>
    </row>
    <row r="228" customFormat="false" ht="15" hidden="false" customHeight="false" outlineLevel="0" collapsed="false">
      <c r="A228" s="75" t="n">
        <f aca="false">A227+1</f>
        <v>46522</v>
      </c>
      <c r="B228" s="76" t="n">
        <f aca="false">DATE(YEAR(A228),MONTH(A228),1)</f>
        <v>46508</v>
      </c>
      <c r="C228" s="77" t="n">
        <f aca="false">IF(AND(A228&gt;=Impostazioni!$B$4,A228&lt;=Impostazioni!$B$5),1,0)</f>
        <v>1</v>
      </c>
      <c r="D228" s="77" t="n">
        <f aca="false">IF(COUNTIF(Impostazioni!$A$27:$A$56,A228)&gt;0,1,0)</f>
        <v>0</v>
      </c>
      <c r="E228" s="77" t="n">
        <f aca="false">IF(COUNTIFS(Impostazioni!$A$16:$A$23,"&lt;="&amp;A228,Impostazioni!$B$16:$B$23,"&gt;="&amp;A228)&gt;0,1,0)</f>
        <v>0</v>
      </c>
      <c r="F228" s="77" t="n">
        <f aca="false">IF(AND(C228=1,D228=0,E228=0),1,0)</f>
        <v>1</v>
      </c>
      <c r="G228" s="77" t="n">
        <f aca="false">(YEAR(A228)-YEAR(Impostazioni!$B$11))*12+MONTH(A228)-MONTH(Impostazioni!$B$11)</f>
        <v>7</v>
      </c>
      <c r="H228" s="77" t="n">
        <f aca="false">INT((DAY(A228)-1+WEEKDAY(DATE(YEAR(A228),MONTH(A228),1),2)-1)/7)</f>
        <v>2</v>
      </c>
      <c r="I228" s="77" t="str">
        <f aca="false">IF(G228&gt;11,"",INDEX(Calendario!$A$14:$G$193,4+15*G228+2*H228,WEEKDAY(A228,2))&amp;"")</f>
        <v/>
      </c>
      <c r="J228" s="77" t="n">
        <f aca="false">IF(AND(F228=1,I228="A"),1,0)</f>
        <v>0</v>
      </c>
      <c r="K228" s="77" t="n">
        <f aca="false">IF(AND(F228=1,I228="G"),1,0)</f>
        <v>0</v>
      </c>
      <c r="L228" s="77" t="n">
        <f aca="false">IF(AND(F228=1,A228&gt;=Impostazioni!$B$8),1,0)</f>
        <v>1</v>
      </c>
      <c r="M228" s="77" t="n">
        <f aca="false">IF(C228=0,3,IF(OR(D228=1,E228=1),2,IF(WEEKDAY(A228,2)&gt;5,1,0)))</f>
        <v>1</v>
      </c>
      <c r="N228" s="77" t="str">
        <f aca="false">IF(OR(I228="A",I228="G"),MAX(N$1:N227)+1,"")</f>
        <v/>
      </c>
    </row>
    <row r="229" customFormat="false" ht="15" hidden="false" customHeight="false" outlineLevel="0" collapsed="false">
      <c r="A229" s="75" t="n">
        <f aca="false">A228+1</f>
        <v>46523</v>
      </c>
      <c r="B229" s="76" t="n">
        <f aca="false">DATE(YEAR(A229),MONTH(A229),1)</f>
        <v>46508</v>
      </c>
      <c r="C229" s="77" t="n">
        <f aca="false">IF(AND(A229&gt;=Impostazioni!$B$4,A229&lt;=Impostazioni!$B$5),1,0)</f>
        <v>1</v>
      </c>
      <c r="D229" s="77" t="n">
        <f aca="false">IF(COUNTIF(Impostazioni!$A$27:$A$56,A229)&gt;0,1,0)</f>
        <v>0</v>
      </c>
      <c r="E229" s="77" t="n">
        <f aca="false">IF(COUNTIFS(Impostazioni!$A$16:$A$23,"&lt;="&amp;A229,Impostazioni!$B$16:$B$23,"&gt;="&amp;A229)&gt;0,1,0)</f>
        <v>0</v>
      </c>
      <c r="F229" s="77" t="n">
        <f aca="false">IF(AND(C229=1,D229=0,E229=0),1,0)</f>
        <v>1</v>
      </c>
      <c r="G229" s="77" t="n">
        <f aca="false">(YEAR(A229)-YEAR(Impostazioni!$B$11))*12+MONTH(A229)-MONTH(Impostazioni!$B$11)</f>
        <v>7</v>
      </c>
      <c r="H229" s="77" t="n">
        <f aca="false">INT((DAY(A229)-1+WEEKDAY(DATE(YEAR(A229),MONTH(A229),1),2)-1)/7)</f>
        <v>2</v>
      </c>
      <c r="I229" s="77" t="str">
        <f aca="false">IF(G229&gt;11,"",INDEX(Calendario!$A$14:$G$193,4+15*G229+2*H229,WEEKDAY(A229,2))&amp;"")</f>
        <v/>
      </c>
      <c r="J229" s="77" t="n">
        <f aca="false">IF(AND(F229=1,I229="A"),1,0)</f>
        <v>0</v>
      </c>
      <c r="K229" s="77" t="n">
        <f aca="false">IF(AND(F229=1,I229="G"),1,0)</f>
        <v>0</v>
      </c>
      <c r="L229" s="77" t="n">
        <f aca="false">IF(AND(F229=1,A229&gt;=Impostazioni!$B$8),1,0)</f>
        <v>1</v>
      </c>
      <c r="M229" s="77" t="n">
        <f aca="false">IF(C229=0,3,IF(OR(D229=1,E229=1),2,IF(WEEKDAY(A229,2)&gt;5,1,0)))</f>
        <v>1</v>
      </c>
      <c r="N229" s="77" t="str">
        <f aca="false">IF(OR(I229="A",I229="G"),MAX(N$1:N228)+1,"")</f>
        <v/>
      </c>
    </row>
    <row r="230" customFormat="false" ht="15" hidden="false" customHeight="false" outlineLevel="0" collapsed="false">
      <c r="A230" s="75" t="n">
        <f aca="false">A229+1</f>
        <v>46524</v>
      </c>
      <c r="B230" s="76" t="n">
        <f aca="false">DATE(YEAR(A230),MONTH(A230),1)</f>
        <v>46508</v>
      </c>
      <c r="C230" s="77" t="n">
        <f aca="false">IF(AND(A230&gt;=Impostazioni!$B$4,A230&lt;=Impostazioni!$B$5),1,0)</f>
        <v>1</v>
      </c>
      <c r="D230" s="77" t="n">
        <f aca="false">IF(COUNTIF(Impostazioni!$A$27:$A$56,A230)&gt;0,1,0)</f>
        <v>0</v>
      </c>
      <c r="E230" s="77" t="n">
        <f aca="false">IF(COUNTIFS(Impostazioni!$A$16:$A$23,"&lt;="&amp;A230,Impostazioni!$B$16:$B$23,"&gt;="&amp;A230)&gt;0,1,0)</f>
        <v>0</v>
      </c>
      <c r="F230" s="77" t="n">
        <f aca="false">IF(AND(C230=1,D230=0,E230=0),1,0)</f>
        <v>1</v>
      </c>
      <c r="G230" s="77" t="n">
        <f aca="false">(YEAR(A230)-YEAR(Impostazioni!$B$11))*12+MONTH(A230)-MONTH(Impostazioni!$B$11)</f>
        <v>7</v>
      </c>
      <c r="H230" s="77" t="n">
        <f aca="false">INT((DAY(A230)-1+WEEKDAY(DATE(YEAR(A230),MONTH(A230),1),2)-1)/7)</f>
        <v>3</v>
      </c>
      <c r="I230" s="77" t="str">
        <f aca="false">IF(G230&gt;11,"",INDEX(Calendario!$A$14:$G$193,4+15*G230+2*H230,WEEKDAY(A230,2))&amp;"")</f>
        <v/>
      </c>
      <c r="J230" s="77" t="n">
        <f aca="false">IF(AND(F230=1,I230="A"),1,0)</f>
        <v>0</v>
      </c>
      <c r="K230" s="77" t="n">
        <f aca="false">IF(AND(F230=1,I230="G"),1,0)</f>
        <v>0</v>
      </c>
      <c r="L230" s="77" t="n">
        <f aca="false">IF(AND(F230=1,A230&gt;=Impostazioni!$B$8),1,0)</f>
        <v>1</v>
      </c>
      <c r="M230" s="77" t="n">
        <f aca="false">IF(C230=0,3,IF(OR(D230=1,E230=1),2,IF(WEEKDAY(A230,2)&gt;5,1,0)))</f>
        <v>0</v>
      </c>
      <c r="N230" s="77" t="str">
        <f aca="false">IF(OR(I230="A",I230="G"),MAX(N$1:N229)+1,"")</f>
        <v/>
      </c>
    </row>
    <row r="231" customFormat="false" ht="15" hidden="false" customHeight="false" outlineLevel="0" collapsed="false">
      <c r="A231" s="75" t="n">
        <f aca="false">A230+1</f>
        <v>46525</v>
      </c>
      <c r="B231" s="76" t="n">
        <f aca="false">DATE(YEAR(A231),MONTH(A231),1)</f>
        <v>46508</v>
      </c>
      <c r="C231" s="77" t="n">
        <f aca="false">IF(AND(A231&gt;=Impostazioni!$B$4,A231&lt;=Impostazioni!$B$5),1,0)</f>
        <v>1</v>
      </c>
      <c r="D231" s="77" t="n">
        <f aca="false">IF(COUNTIF(Impostazioni!$A$27:$A$56,A231)&gt;0,1,0)</f>
        <v>0</v>
      </c>
      <c r="E231" s="77" t="n">
        <f aca="false">IF(COUNTIFS(Impostazioni!$A$16:$A$23,"&lt;="&amp;A231,Impostazioni!$B$16:$B$23,"&gt;="&amp;A231)&gt;0,1,0)</f>
        <v>0</v>
      </c>
      <c r="F231" s="77" t="n">
        <f aca="false">IF(AND(C231=1,D231=0,E231=0),1,0)</f>
        <v>1</v>
      </c>
      <c r="G231" s="77" t="n">
        <f aca="false">(YEAR(A231)-YEAR(Impostazioni!$B$11))*12+MONTH(A231)-MONTH(Impostazioni!$B$11)</f>
        <v>7</v>
      </c>
      <c r="H231" s="77" t="n">
        <f aca="false">INT((DAY(A231)-1+WEEKDAY(DATE(YEAR(A231),MONTH(A231),1),2)-1)/7)</f>
        <v>3</v>
      </c>
      <c r="I231" s="77" t="str">
        <f aca="false">IF(G231&gt;11,"",INDEX(Calendario!$A$14:$G$193,4+15*G231+2*H231,WEEKDAY(A231,2))&amp;"")</f>
        <v/>
      </c>
      <c r="J231" s="77" t="n">
        <f aca="false">IF(AND(F231=1,I231="A"),1,0)</f>
        <v>0</v>
      </c>
      <c r="K231" s="77" t="n">
        <f aca="false">IF(AND(F231=1,I231="G"),1,0)</f>
        <v>0</v>
      </c>
      <c r="L231" s="77" t="n">
        <f aca="false">IF(AND(F231=1,A231&gt;=Impostazioni!$B$8),1,0)</f>
        <v>1</v>
      </c>
      <c r="M231" s="77" t="n">
        <f aca="false">IF(C231=0,3,IF(OR(D231=1,E231=1),2,IF(WEEKDAY(A231,2)&gt;5,1,0)))</f>
        <v>0</v>
      </c>
      <c r="N231" s="77" t="str">
        <f aca="false">IF(OR(I231="A",I231="G"),MAX(N$1:N230)+1,"")</f>
        <v/>
      </c>
    </row>
    <row r="232" customFormat="false" ht="15" hidden="false" customHeight="false" outlineLevel="0" collapsed="false">
      <c r="A232" s="75" t="n">
        <f aca="false">A231+1</f>
        <v>46526</v>
      </c>
      <c r="B232" s="76" t="n">
        <f aca="false">DATE(YEAR(A232),MONTH(A232),1)</f>
        <v>46508</v>
      </c>
      <c r="C232" s="77" t="n">
        <f aca="false">IF(AND(A232&gt;=Impostazioni!$B$4,A232&lt;=Impostazioni!$B$5),1,0)</f>
        <v>1</v>
      </c>
      <c r="D232" s="77" t="n">
        <f aca="false">IF(COUNTIF(Impostazioni!$A$27:$A$56,A232)&gt;0,1,0)</f>
        <v>0</v>
      </c>
      <c r="E232" s="77" t="n">
        <f aca="false">IF(COUNTIFS(Impostazioni!$A$16:$A$23,"&lt;="&amp;A232,Impostazioni!$B$16:$B$23,"&gt;="&amp;A232)&gt;0,1,0)</f>
        <v>0</v>
      </c>
      <c r="F232" s="77" t="n">
        <f aca="false">IF(AND(C232=1,D232=0,E232=0),1,0)</f>
        <v>1</v>
      </c>
      <c r="G232" s="77" t="n">
        <f aca="false">(YEAR(A232)-YEAR(Impostazioni!$B$11))*12+MONTH(A232)-MONTH(Impostazioni!$B$11)</f>
        <v>7</v>
      </c>
      <c r="H232" s="77" t="n">
        <f aca="false">INT((DAY(A232)-1+WEEKDAY(DATE(YEAR(A232),MONTH(A232),1),2)-1)/7)</f>
        <v>3</v>
      </c>
      <c r="I232" s="77" t="str">
        <f aca="false">IF(G232&gt;11,"",INDEX(Calendario!$A$14:$G$193,4+15*G232+2*H232,WEEKDAY(A232,2))&amp;"")</f>
        <v/>
      </c>
      <c r="J232" s="77" t="n">
        <f aca="false">IF(AND(F232=1,I232="A"),1,0)</f>
        <v>0</v>
      </c>
      <c r="K232" s="77" t="n">
        <f aca="false">IF(AND(F232=1,I232="G"),1,0)</f>
        <v>0</v>
      </c>
      <c r="L232" s="77" t="n">
        <f aca="false">IF(AND(F232=1,A232&gt;=Impostazioni!$B$8),1,0)</f>
        <v>1</v>
      </c>
      <c r="M232" s="77" t="n">
        <f aca="false">IF(C232=0,3,IF(OR(D232=1,E232=1),2,IF(WEEKDAY(A232,2)&gt;5,1,0)))</f>
        <v>0</v>
      </c>
      <c r="N232" s="77" t="str">
        <f aca="false">IF(OR(I232="A",I232="G"),MAX(N$1:N231)+1,"")</f>
        <v/>
      </c>
    </row>
    <row r="233" customFormat="false" ht="15" hidden="false" customHeight="false" outlineLevel="0" collapsed="false">
      <c r="A233" s="75" t="n">
        <f aca="false">A232+1</f>
        <v>46527</v>
      </c>
      <c r="B233" s="76" t="n">
        <f aca="false">DATE(YEAR(A233),MONTH(A233),1)</f>
        <v>46508</v>
      </c>
      <c r="C233" s="77" t="n">
        <f aca="false">IF(AND(A233&gt;=Impostazioni!$B$4,A233&lt;=Impostazioni!$B$5),1,0)</f>
        <v>1</v>
      </c>
      <c r="D233" s="77" t="n">
        <f aca="false">IF(COUNTIF(Impostazioni!$A$27:$A$56,A233)&gt;0,1,0)</f>
        <v>0</v>
      </c>
      <c r="E233" s="77" t="n">
        <f aca="false">IF(COUNTIFS(Impostazioni!$A$16:$A$23,"&lt;="&amp;A233,Impostazioni!$B$16:$B$23,"&gt;="&amp;A233)&gt;0,1,0)</f>
        <v>0</v>
      </c>
      <c r="F233" s="77" t="n">
        <f aca="false">IF(AND(C233=1,D233=0,E233=0),1,0)</f>
        <v>1</v>
      </c>
      <c r="G233" s="77" t="n">
        <f aca="false">(YEAR(A233)-YEAR(Impostazioni!$B$11))*12+MONTH(A233)-MONTH(Impostazioni!$B$11)</f>
        <v>7</v>
      </c>
      <c r="H233" s="77" t="n">
        <f aca="false">INT((DAY(A233)-1+WEEKDAY(DATE(YEAR(A233),MONTH(A233),1),2)-1)/7)</f>
        <v>3</v>
      </c>
      <c r="I233" s="77" t="str">
        <f aca="false">IF(G233&gt;11,"",INDEX(Calendario!$A$14:$G$193,4+15*G233+2*H233,WEEKDAY(A233,2))&amp;"")</f>
        <v/>
      </c>
      <c r="J233" s="77" t="n">
        <f aca="false">IF(AND(F233=1,I233="A"),1,0)</f>
        <v>0</v>
      </c>
      <c r="K233" s="77" t="n">
        <f aca="false">IF(AND(F233=1,I233="G"),1,0)</f>
        <v>0</v>
      </c>
      <c r="L233" s="77" t="n">
        <f aca="false">IF(AND(F233=1,A233&gt;=Impostazioni!$B$8),1,0)</f>
        <v>1</v>
      </c>
      <c r="M233" s="77" t="n">
        <f aca="false">IF(C233=0,3,IF(OR(D233=1,E233=1),2,IF(WEEKDAY(A233,2)&gt;5,1,0)))</f>
        <v>0</v>
      </c>
      <c r="N233" s="77" t="str">
        <f aca="false">IF(OR(I233="A",I233="G"),MAX(N$1:N232)+1,"")</f>
        <v/>
      </c>
    </row>
    <row r="234" customFormat="false" ht="15" hidden="false" customHeight="false" outlineLevel="0" collapsed="false">
      <c r="A234" s="75" t="n">
        <f aca="false">A233+1</f>
        <v>46528</v>
      </c>
      <c r="B234" s="76" t="n">
        <f aca="false">DATE(YEAR(A234),MONTH(A234),1)</f>
        <v>46508</v>
      </c>
      <c r="C234" s="77" t="n">
        <f aca="false">IF(AND(A234&gt;=Impostazioni!$B$4,A234&lt;=Impostazioni!$B$5),1,0)</f>
        <v>1</v>
      </c>
      <c r="D234" s="77" t="n">
        <f aca="false">IF(COUNTIF(Impostazioni!$A$27:$A$56,A234)&gt;0,1,0)</f>
        <v>0</v>
      </c>
      <c r="E234" s="77" t="n">
        <f aca="false">IF(COUNTIFS(Impostazioni!$A$16:$A$23,"&lt;="&amp;A234,Impostazioni!$B$16:$B$23,"&gt;="&amp;A234)&gt;0,1,0)</f>
        <v>0</v>
      </c>
      <c r="F234" s="77" t="n">
        <f aca="false">IF(AND(C234=1,D234=0,E234=0),1,0)</f>
        <v>1</v>
      </c>
      <c r="G234" s="77" t="n">
        <f aca="false">(YEAR(A234)-YEAR(Impostazioni!$B$11))*12+MONTH(A234)-MONTH(Impostazioni!$B$11)</f>
        <v>7</v>
      </c>
      <c r="H234" s="77" t="n">
        <f aca="false">INT((DAY(A234)-1+WEEKDAY(DATE(YEAR(A234),MONTH(A234),1),2)-1)/7)</f>
        <v>3</v>
      </c>
      <c r="I234" s="77" t="str">
        <f aca="false">IF(G234&gt;11,"",INDEX(Calendario!$A$14:$G$193,4+15*G234+2*H234,WEEKDAY(A234,2))&amp;"")</f>
        <v/>
      </c>
      <c r="J234" s="77" t="n">
        <f aca="false">IF(AND(F234=1,I234="A"),1,0)</f>
        <v>0</v>
      </c>
      <c r="K234" s="77" t="n">
        <f aca="false">IF(AND(F234=1,I234="G"),1,0)</f>
        <v>0</v>
      </c>
      <c r="L234" s="77" t="n">
        <f aca="false">IF(AND(F234=1,A234&gt;=Impostazioni!$B$8),1,0)</f>
        <v>1</v>
      </c>
      <c r="M234" s="77" t="n">
        <f aca="false">IF(C234=0,3,IF(OR(D234=1,E234=1),2,IF(WEEKDAY(A234,2)&gt;5,1,0)))</f>
        <v>0</v>
      </c>
      <c r="N234" s="77" t="str">
        <f aca="false">IF(OR(I234="A",I234="G"),MAX(N$1:N233)+1,"")</f>
        <v/>
      </c>
    </row>
    <row r="235" customFormat="false" ht="15" hidden="false" customHeight="false" outlineLevel="0" collapsed="false">
      <c r="A235" s="75" t="n">
        <f aca="false">A234+1</f>
        <v>46529</v>
      </c>
      <c r="B235" s="76" t="n">
        <f aca="false">DATE(YEAR(A235),MONTH(A235),1)</f>
        <v>46508</v>
      </c>
      <c r="C235" s="77" t="n">
        <f aca="false">IF(AND(A235&gt;=Impostazioni!$B$4,A235&lt;=Impostazioni!$B$5),1,0)</f>
        <v>1</v>
      </c>
      <c r="D235" s="77" t="n">
        <f aca="false">IF(COUNTIF(Impostazioni!$A$27:$A$56,A235)&gt;0,1,0)</f>
        <v>0</v>
      </c>
      <c r="E235" s="77" t="n">
        <f aca="false">IF(COUNTIFS(Impostazioni!$A$16:$A$23,"&lt;="&amp;A235,Impostazioni!$B$16:$B$23,"&gt;="&amp;A235)&gt;0,1,0)</f>
        <v>0</v>
      </c>
      <c r="F235" s="77" t="n">
        <f aca="false">IF(AND(C235=1,D235=0,E235=0),1,0)</f>
        <v>1</v>
      </c>
      <c r="G235" s="77" t="n">
        <f aca="false">(YEAR(A235)-YEAR(Impostazioni!$B$11))*12+MONTH(A235)-MONTH(Impostazioni!$B$11)</f>
        <v>7</v>
      </c>
      <c r="H235" s="77" t="n">
        <f aca="false">INT((DAY(A235)-1+WEEKDAY(DATE(YEAR(A235),MONTH(A235),1),2)-1)/7)</f>
        <v>3</v>
      </c>
      <c r="I235" s="77" t="str">
        <f aca="false">IF(G235&gt;11,"",INDEX(Calendario!$A$14:$G$193,4+15*G235+2*H235,WEEKDAY(A235,2))&amp;"")</f>
        <v/>
      </c>
      <c r="J235" s="77" t="n">
        <f aca="false">IF(AND(F235=1,I235="A"),1,0)</f>
        <v>0</v>
      </c>
      <c r="K235" s="77" t="n">
        <f aca="false">IF(AND(F235=1,I235="G"),1,0)</f>
        <v>0</v>
      </c>
      <c r="L235" s="77" t="n">
        <f aca="false">IF(AND(F235=1,A235&gt;=Impostazioni!$B$8),1,0)</f>
        <v>1</v>
      </c>
      <c r="M235" s="77" t="n">
        <f aca="false">IF(C235=0,3,IF(OR(D235=1,E235=1),2,IF(WEEKDAY(A235,2)&gt;5,1,0)))</f>
        <v>1</v>
      </c>
      <c r="N235" s="77" t="str">
        <f aca="false">IF(OR(I235="A",I235="G"),MAX(N$1:N234)+1,"")</f>
        <v/>
      </c>
    </row>
    <row r="236" customFormat="false" ht="15" hidden="false" customHeight="false" outlineLevel="0" collapsed="false">
      <c r="A236" s="75" t="n">
        <f aca="false">A235+1</f>
        <v>46530</v>
      </c>
      <c r="B236" s="76" t="n">
        <f aca="false">DATE(YEAR(A236),MONTH(A236),1)</f>
        <v>46508</v>
      </c>
      <c r="C236" s="77" t="n">
        <f aca="false">IF(AND(A236&gt;=Impostazioni!$B$4,A236&lt;=Impostazioni!$B$5),1,0)</f>
        <v>1</v>
      </c>
      <c r="D236" s="77" t="n">
        <f aca="false">IF(COUNTIF(Impostazioni!$A$27:$A$56,A236)&gt;0,1,0)</f>
        <v>0</v>
      </c>
      <c r="E236" s="77" t="n">
        <f aca="false">IF(COUNTIFS(Impostazioni!$A$16:$A$23,"&lt;="&amp;A236,Impostazioni!$B$16:$B$23,"&gt;="&amp;A236)&gt;0,1,0)</f>
        <v>0</v>
      </c>
      <c r="F236" s="77" t="n">
        <f aca="false">IF(AND(C236=1,D236=0,E236=0),1,0)</f>
        <v>1</v>
      </c>
      <c r="G236" s="77" t="n">
        <f aca="false">(YEAR(A236)-YEAR(Impostazioni!$B$11))*12+MONTH(A236)-MONTH(Impostazioni!$B$11)</f>
        <v>7</v>
      </c>
      <c r="H236" s="77" t="n">
        <f aca="false">INT((DAY(A236)-1+WEEKDAY(DATE(YEAR(A236),MONTH(A236),1),2)-1)/7)</f>
        <v>3</v>
      </c>
      <c r="I236" s="77" t="str">
        <f aca="false">IF(G236&gt;11,"",INDEX(Calendario!$A$14:$G$193,4+15*G236+2*H236,WEEKDAY(A236,2))&amp;"")</f>
        <v/>
      </c>
      <c r="J236" s="77" t="n">
        <f aca="false">IF(AND(F236=1,I236="A"),1,0)</f>
        <v>0</v>
      </c>
      <c r="K236" s="77" t="n">
        <f aca="false">IF(AND(F236=1,I236="G"),1,0)</f>
        <v>0</v>
      </c>
      <c r="L236" s="77" t="n">
        <f aca="false">IF(AND(F236=1,A236&gt;=Impostazioni!$B$8),1,0)</f>
        <v>1</v>
      </c>
      <c r="M236" s="77" t="n">
        <f aca="false">IF(C236=0,3,IF(OR(D236=1,E236=1),2,IF(WEEKDAY(A236,2)&gt;5,1,0)))</f>
        <v>1</v>
      </c>
      <c r="N236" s="77" t="str">
        <f aca="false">IF(OR(I236="A",I236="G"),MAX(N$1:N235)+1,"")</f>
        <v/>
      </c>
    </row>
    <row r="237" customFormat="false" ht="15" hidden="false" customHeight="false" outlineLevel="0" collapsed="false">
      <c r="A237" s="75" t="n">
        <f aca="false">A236+1</f>
        <v>46531</v>
      </c>
      <c r="B237" s="76" t="n">
        <f aca="false">DATE(YEAR(A237),MONTH(A237),1)</f>
        <v>46508</v>
      </c>
      <c r="C237" s="77" t="n">
        <f aca="false">IF(AND(A237&gt;=Impostazioni!$B$4,A237&lt;=Impostazioni!$B$5),1,0)</f>
        <v>1</v>
      </c>
      <c r="D237" s="77" t="n">
        <f aca="false">IF(COUNTIF(Impostazioni!$A$27:$A$56,A237)&gt;0,1,0)</f>
        <v>0</v>
      </c>
      <c r="E237" s="77" t="n">
        <f aca="false">IF(COUNTIFS(Impostazioni!$A$16:$A$23,"&lt;="&amp;A237,Impostazioni!$B$16:$B$23,"&gt;="&amp;A237)&gt;0,1,0)</f>
        <v>0</v>
      </c>
      <c r="F237" s="77" t="n">
        <f aca="false">IF(AND(C237=1,D237=0,E237=0),1,0)</f>
        <v>1</v>
      </c>
      <c r="G237" s="77" t="n">
        <f aca="false">(YEAR(A237)-YEAR(Impostazioni!$B$11))*12+MONTH(A237)-MONTH(Impostazioni!$B$11)</f>
        <v>7</v>
      </c>
      <c r="H237" s="77" t="n">
        <f aca="false">INT((DAY(A237)-1+WEEKDAY(DATE(YEAR(A237),MONTH(A237),1),2)-1)/7)</f>
        <v>4</v>
      </c>
      <c r="I237" s="77" t="str">
        <f aca="false">IF(G237&gt;11,"",INDEX(Calendario!$A$14:$G$193,4+15*G237+2*H237,WEEKDAY(A237,2))&amp;"")</f>
        <v/>
      </c>
      <c r="J237" s="77" t="n">
        <f aca="false">IF(AND(F237=1,I237="A"),1,0)</f>
        <v>0</v>
      </c>
      <c r="K237" s="77" t="n">
        <f aca="false">IF(AND(F237=1,I237="G"),1,0)</f>
        <v>0</v>
      </c>
      <c r="L237" s="77" t="n">
        <f aca="false">IF(AND(F237=1,A237&gt;=Impostazioni!$B$8),1,0)</f>
        <v>1</v>
      </c>
      <c r="M237" s="77" t="n">
        <f aca="false">IF(C237=0,3,IF(OR(D237=1,E237=1),2,IF(WEEKDAY(A237,2)&gt;5,1,0)))</f>
        <v>0</v>
      </c>
      <c r="N237" s="77" t="str">
        <f aca="false">IF(OR(I237="A",I237="G"),MAX(N$1:N236)+1,"")</f>
        <v/>
      </c>
    </row>
    <row r="238" customFormat="false" ht="15" hidden="false" customHeight="false" outlineLevel="0" collapsed="false">
      <c r="A238" s="75" t="n">
        <f aca="false">A237+1</f>
        <v>46532</v>
      </c>
      <c r="B238" s="76" t="n">
        <f aca="false">DATE(YEAR(A238),MONTH(A238),1)</f>
        <v>46508</v>
      </c>
      <c r="C238" s="77" t="n">
        <f aca="false">IF(AND(A238&gt;=Impostazioni!$B$4,A238&lt;=Impostazioni!$B$5),1,0)</f>
        <v>1</v>
      </c>
      <c r="D238" s="77" t="n">
        <f aca="false">IF(COUNTIF(Impostazioni!$A$27:$A$56,A238)&gt;0,1,0)</f>
        <v>0</v>
      </c>
      <c r="E238" s="77" t="n">
        <f aca="false">IF(COUNTIFS(Impostazioni!$A$16:$A$23,"&lt;="&amp;A238,Impostazioni!$B$16:$B$23,"&gt;="&amp;A238)&gt;0,1,0)</f>
        <v>0</v>
      </c>
      <c r="F238" s="77" t="n">
        <f aca="false">IF(AND(C238=1,D238=0,E238=0),1,0)</f>
        <v>1</v>
      </c>
      <c r="G238" s="77" t="n">
        <f aca="false">(YEAR(A238)-YEAR(Impostazioni!$B$11))*12+MONTH(A238)-MONTH(Impostazioni!$B$11)</f>
        <v>7</v>
      </c>
      <c r="H238" s="77" t="n">
        <f aca="false">INT((DAY(A238)-1+WEEKDAY(DATE(YEAR(A238),MONTH(A238),1),2)-1)/7)</f>
        <v>4</v>
      </c>
      <c r="I238" s="77" t="str">
        <f aca="false">IF(G238&gt;11,"",INDEX(Calendario!$A$14:$G$193,4+15*G238+2*H238,WEEKDAY(A238,2))&amp;"")</f>
        <v/>
      </c>
      <c r="J238" s="77" t="n">
        <f aca="false">IF(AND(F238=1,I238="A"),1,0)</f>
        <v>0</v>
      </c>
      <c r="K238" s="77" t="n">
        <f aca="false">IF(AND(F238=1,I238="G"),1,0)</f>
        <v>0</v>
      </c>
      <c r="L238" s="77" t="n">
        <f aca="false">IF(AND(F238=1,A238&gt;=Impostazioni!$B$8),1,0)</f>
        <v>1</v>
      </c>
      <c r="M238" s="77" t="n">
        <f aca="false">IF(C238=0,3,IF(OR(D238=1,E238=1),2,IF(WEEKDAY(A238,2)&gt;5,1,0)))</f>
        <v>0</v>
      </c>
      <c r="N238" s="77" t="str">
        <f aca="false">IF(OR(I238="A",I238="G"),MAX(N$1:N237)+1,"")</f>
        <v/>
      </c>
    </row>
    <row r="239" customFormat="false" ht="15" hidden="false" customHeight="false" outlineLevel="0" collapsed="false">
      <c r="A239" s="75" t="n">
        <f aca="false">A238+1</f>
        <v>46533</v>
      </c>
      <c r="B239" s="76" t="n">
        <f aca="false">DATE(YEAR(A239),MONTH(A239),1)</f>
        <v>46508</v>
      </c>
      <c r="C239" s="77" t="n">
        <f aca="false">IF(AND(A239&gt;=Impostazioni!$B$4,A239&lt;=Impostazioni!$B$5),1,0)</f>
        <v>1</v>
      </c>
      <c r="D239" s="77" t="n">
        <f aca="false">IF(COUNTIF(Impostazioni!$A$27:$A$56,A239)&gt;0,1,0)</f>
        <v>0</v>
      </c>
      <c r="E239" s="77" t="n">
        <f aca="false">IF(COUNTIFS(Impostazioni!$A$16:$A$23,"&lt;="&amp;A239,Impostazioni!$B$16:$B$23,"&gt;="&amp;A239)&gt;0,1,0)</f>
        <v>0</v>
      </c>
      <c r="F239" s="77" t="n">
        <f aca="false">IF(AND(C239=1,D239=0,E239=0),1,0)</f>
        <v>1</v>
      </c>
      <c r="G239" s="77" t="n">
        <f aca="false">(YEAR(A239)-YEAR(Impostazioni!$B$11))*12+MONTH(A239)-MONTH(Impostazioni!$B$11)</f>
        <v>7</v>
      </c>
      <c r="H239" s="77" t="n">
        <f aca="false">INT((DAY(A239)-1+WEEKDAY(DATE(YEAR(A239),MONTH(A239),1),2)-1)/7)</f>
        <v>4</v>
      </c>
      <c r="I239" s="77" t="str">
        <f aca="false">IF(G239&gt;11,"",INDEX(Calendario!$A$14:$G$193,4+15*G239+2*H239,WEEKDAY(A239,2))&amp;"")</f>
        <v/>
      </c>
      <c r="J239" s="77" t="n">
        <f aca="false">IF(AND(F239=1,I239="A"),1,0)</f>
        <v>0</v>
      </c>
      <c r="K239" s="77" t="n">
        <f aca="false">IF(AND(F239=1,I239="G"),1,0)</f>
        <v>0</v>
      </c>
      <c r="L239" s="77" t="n">
        <f aca="false">IF(AND(F239=1,A239&gt;=Impostazioni!$B$8),1,0)</f>
        <v>1</v>
      </c>
      <c r="M239" s="77" t="n">
        <f aca="false">IF(C239=0,3,IF(OR(D239=1,E239=1),2,IF(WEEKDAY(A239,2)&gt;5,1,0)))</f>
        <v>0</v>
      </c>
      <c r="N239" s="77" t="str">
        <f aca="false">IF(OR(I239="A",I239="G"),MAX(N$1:N238)+1,"")</f>
        <v/>
      </c>
    </row>
    <row r="240" customFormat="false" ht="15" hidden="false" customHeight="false" outlineLevel="0" collapsed="false">
      <c r="A240" s="75" t="n">
        <f aca="false">A239+1</f>
        <v>46534</v>
      </c>
      <c r="B240" s="76" t="n">
        <f aca="false">DATE(YEAR(A240),MONTH(A240),1)</f>
        <v>46508</v>
      </c>
      <c r="C240" s="77" t="n">
        <f aca="false">IF(AND(A240&gt;=Impostazioni!$B$4,A240&lt;=Impostazioni!$B$5),1,0)</f>
        <v>1</v>
      </c>
      <c r="D240" s="77" t="n">
        <f aca="false">IF(COUNTIF(Impostazioni!$A$27:$A$56,A240)&gt;0,1,0)</f>
        <v>0</v>
      </c>
      <c r="E240" s="77" t="n">
        <f aca="false">IF(COUNTIFS(Impostazioni!$A$16:$A$23,"&lt;="&amp;A240,Impostazioni!$B$16:$B$23,"&gt;="&amp;A240)&gt;0,1,0)</f>
        <v>0</v>
      </c>
      <c r="F240" s="77" t="n">
        <f aca="false">IF(AND(C240=1,D240=0,E240=0),1,0)</f>
        <v>1</v>
      </c>
      <c r="G240" s="77" t="n">
        <f aca="false">(YEAR(A240)-YEAR(Impostazioni!$B$11))*12+MONTH(A240)-MONTH(Impostazioni!$B$11)</f>
        <v>7</v>
      </c>
      <c r="H240" s="77" t="n">
        <f aca="false">INT((DAY(A240)-1+WEEKDAY(DATE(YEAR(A240),MONTH(A240),1),2)-1)/7)</f>
        <v>4</v>
      </c>
      <c r="I240" s="77" t="str">
        <f aca="false">IF(G240&gt;11,"",INDEX(Calendario!$A$14:$G$193,4+15*G240+2*H240,WEEKDAY(A240,2))&amp;"")</f>
        <v/>
      </c>
      <c r="J240" s="77" t="n">
        <f aca="false">IF(AND(F240=1,I240="A"),1,0)</f>
        <v>0</v>
      </c>
      <c r="K240" s="77" t="n">
        <f aca="false">IF(AND(F240=1,I240="G"),1,0)</f>
        <v>0</v>
      </c>
      <c r="L240" s="77" t="n">
        <f aca="false">IF(AND(F240=1,A240&gt;=Impostazioni!$B$8),1,0)</f>
        <v>1</v>
      </c>
      <c r="M240" s="77" t="n">
        <f aca="false">IF(C240=0,3,IF(OR(D240=1,E240=1),2,IF(WEEKDAY(A240,2)&gt;5,1,0)))</f>
        <v>0</v>
      </c>
      <c r="N240" s="77" t="str">
        <f aca="false">IF(OR(I240="A",I240="G"),MAX(N$1:N239)+1,"")</f>
        <v/>
      </c>
    </row>
    <row r="241" customFormat="false" ht="15" hidden="false" customHeight="false" outlineLevel="0" collapsed="false">
      <c r="A241" s="75" t="n">
        <f aca="false">A240+1</f>
        <v>46535</v>
      </c>
      <c r="B241" s="76" t="n">
        <f aca="false">DATE(YEAR(A241),MONTH(A241),1)</f>
        <v>46508</v>
      </c>
      <c r="C241" s="77" t="n">
        <f aca="false">IF(AND(A241&gt;=Impostazioni!$B$4,A241&lt;=Impostazioni!$B$5),1,0)</f>
        <v>1</v>
      </c>
      <c r="D241" s="77" t="n">
        <f aca="false">IF(COUNTIF(Impostazioni!$A$27:$A$56,A241)&gt;0,1,0)</f>
        <v>0</v>
      </c>
      <c r="E241" s="77" t="n">
        <f aca="false">IF(COUNTIFS(Impostazioni!$A$16:$A$23,"&lt;="&amp;A241,Impostazioni!$B$16:$B$23,"&gt;="&amp;A241)&gt;0,1,0)</f>
        <v>0</v>
      </c>
      <c r="F241" s="77" t="n">
        <f aca="false">IF(AND(C241=1,D241=0,E241=0),1,0)</f>
        <v>1</v>
      </c>
      <c r="G241" s="77" t="n">
        <f aca="false">(YEAR(A241)-YEAR(Impostazioni!$B$11))*12+MONTH(A241)-MONTH(Impostazioni!$B$11)</f>
        <v>7</v>
      </c>
      <c r="H241" s="77" t="n">
        <f aca="false">INT((DAY(A241)-1+WEEKDAY(DATE(YEAR(A241),MONTH(A241),1),2)-1)/7)</f>
        <v>4</v>
      </c>
      <c r="I241" s="77" t="str">
        <f aca="false">IF(G241&gt;11,"",INDEX(Calendario!$A$14:$G$193,4+15*G241+2*H241,WEEKDAY(A241,2))&amp;"")</f>
        <v/>
      </c>
      <c r="J241" s="77" t="n">
        <f aca="false">IF(AND(F241=1,I241="A"),1,0)</f>
        <v>0</v>
      </c>
      <c r="K241" s="77" t="n">
        <f aca="false">IF(AND(F241=1,I241="G"),1,0)</f>
        <v>0</v>
      </c>
      <c r="L241" s="77" t="n">
        <f aca="false">IF(AND(F241=1,A241&gt;=Impostazioni!$B$8),1,0)</f>
        <v>1</v>
      </c>
      <c r="M241" s="77" t="n">
        <f aca="false">IF(C241=0,3,IF(OR(D241=1,E241=1),2,IF(WEEKDAY(A241,2)&gt;5,1,0)))</f>
        <v>0</v>
      </c>
      <c r="N241" s="77" t="str">
        <f aca="false">IF(OR(I241="A",I241="G"),MAX(N$1:N240)+1,"")</f>
        <v/>
      </c>
    </row>
    <row r="242" customFormat="false" ht="15" hidden="false" customHeight="false" outlineLevel="0" collapsed="false">
      <c r="A242" s="75" t="n">
        <f aca="false">A241+1</f>
        <v>46536</v>
      </c>
      <c r="B242" s="76" t="n">
        <f aca="false">DATE(YEAR(A242),MONTH(A242),1)</f>
        <v>46508</v>
      </c>
      <c r="C242" s="77" t="n">
        <f aca="false">IF(AND(A242&gt;=Impostazioni!$B$4,A242&lt;=Impostazioni!$B$5),1,0)</f>
        <v>1</v>
      </c>
      <c r="D242" s="77" t="n">
        <f aca="false">IF(COUNTIF(Impostazioni!$A$27:$A$56,A242)&gt;0,1,0)</f>
        <v>0</v>
      </c>
      <c r="E242" s="77" t="n">
        <f aca="false">IF(COUNTIFS(Impostazioni!$A$16:$A$23,"&lt;="&amp;A242,Impostazioni!$B$16:$B$23,"&gt;="&amp;A242)&gt;0,1,0)</f>
        <v>0</v>
      </c>
      <c r="F242" s="77" t="n">
        <f aca="false">IF(AND(C242=1,D242=0,E242=0),1,0)</f>
        <v>1</v>
      </c>
      <c r="G242" s="77" t="n">
        <f aca="false">(YEAR(A242)-YEAR(Impostazioni!$B$11))*12+MONTH(A242)-MONTH(Impostazioni!$B$11)</f>
        <v>7</v>
      </c>
      <c r="H242" s="77" t="n">
        <f aca="false">INT((DAY(A242)-1+WEEKDAY(DATE(YEAR(A242),MONTH(A242),1),2)-1)/7)</f>
        <v>4</v>
      </c>
      <c r="I242" s="77" t="str">
        <f aca="false">IF(G242&gt;11,"",INDEX(Calendario!$A$14:$G$193,4+15*G242+2*H242,WEEKDAY(A242,2))&amp;"")</f>
        <v/>
      </c>
      <c r="J242" s="77" t="n">
        <f aca="false">IF(AND(F242=1,I242="A"),1,0)</f>
        <v>0</v>
      </c>
      <c r="K242" s="77" t="n">
        <f aca="false">IF(AND(F242=1,I242="G"),1,0)</f>
        <v>0</v>
      </c>
      <c r="L242" s="77" t="n">
        <f aca="false">IF(AND(F242=1,A242&gt;=Impostazioni!$B$8),1,0)</f>
        <v>1</v>
      </c>
      <c r="M242" s="77" t="n">
        <f aca="false">IF(C242=0,3,IF(OR(D242=1,E242=1),2,IF(WEEKDAY(A242,2)&gt;5,1,0)))</f>
        <v>1</v>
      </c>
      <c r="N242" s="77" t="str">
        <f aca="false">IF(OR(I242="A",I242="G"),MAX(N$1:N241)+1,"")</f>
        <v/>
      </c>
    </row>
    <row r="243" customFormat="false" ht="15" hidden="false" customHeight="false" outlineLevel="0" collapsed="false">
      <c r="A243" s="75" t="n">
        <f aca="false">A242+1</f>
        <v>46537</v>
      </c>
      <c r="B243" s="76" t="n">
        <f aca="false">DATE(YEAR(A243),MONTH(A243),1)</f>
        <v>46508</v>
      </c>
      <c r="C243" s="77" t="n">
        <f aca="false">IF(AND(A243&gt;=Impostazioni!$B$4,A243&lt;=Impostazioni!$B$5),1,0)</f>
        <v>1</v>
      </c>
      <c r="D243" s="77" t="n">
        <f aca="false">IF(COUNTIF(Impostazioni!$A$27:$A$56,A243)&gt;0,1,0)</f>
        <v>0</v>
      </c>
      <c r="E243" s="77" t="n">
        <f aca="false">IF(COUNTIFS(Impostazioni!$A$16:$A$23,"&lt;="&amp;A243,Impostazioni!$B$16:$B$23,"&gt;="&amp;A243)&gt;0,1,0)</f>
        <v>0</v>
      </c>
      <c r="F243" s="77" t="n">
        <f aca="false">IF(AND(C243=1,D243=0,E243=0),1,0)</f>
        <v>1</v>
      </c>
      <c r="G243" s="77" t="n">
        <f aca="false">(YEAR(A243)-YEAR(Impostazioni!$B$11))*12+MONTH(A243)-MONTH(Impostazioni!$B$11)</f>
        <v>7</v>
      </c>
      <c r="H243" s="77" t="n">
        <f aca="false">INT((DAY(A243)-1+WEEKDAY(DATE(YEAR(A243),MONTH(A243),1),2)-1)/7)</f>
        <v>4</v>
      </c>
      <c r="I243" s="77" t="str">
        <f aca="false">IF(G243&gt;11,"",INDEX(Calendario!$A$14:$G$193,4+15*G243+2*H243,WEEKDAY(A243,2))&amp;"")</f>
        <v/>
      </c>
      <c r="J243" s="77" t="n">
        <f aca="false">IF(AND(F243=1,I243="A"),1,0)</f>
        <v>0</v>
      </c>
      <c r="K243" s="77" t="n">
        <f aca="false">IF(AND(F243=1,I243="G"),1,0)</f>
        <v>0</v>
      </c>
      <c r="L243" s="77" t="n">
        <f aca="false">IF(AND(F243=1,A243&gt;=Impostazioni!$B$8),1,0)</f>
        <v>1</v>
      </c>
      <c r="M243" s="77" t="n">
        <f aca="false">IF(C243=0,3,IF(OR(D243=1,E243=1),2,IF(WEEKDAY(A243,2)&gt;5,1,0)))</f>
        <v>1</v>
      </c>
      <c r="N243" s="77" t="str">
        <f aca="false">IF(OR(I243="A",I243="G"),MAX(N$1:N242)+1,"")</f>
        <v/>
      </c>
    </row>
    <row r="244" customFormat="false" ht="15" hidden="false" customHeight="false" outlineLevel="0" collapsed="false">
      <c r="A244" s="75" t="n">
        <f aca="false">A243+1</f>
        <v>46538</v>
      </c>
      <c r="B244" s="76" t="n">
        <f aca="false">DATE(YEAR(A244),MONTH(A244),1)</f>
        <v>46508</v>
      </c>
      <c r="C244" s="77" t="n">
        <f aca="false">IF(AND(A244&gt;=Impostazioni!$B$4,A244&lt;=Impostazioni!$B$5),1,0)</f>
        <v>1</v>
      </c>
      <c r="D244" s="77" t="n">
        <f aca="false">IF(COUNTIF(Impostazioni!$A$27:$A$56,A244)&gt;0,1,0)</f>
        <v>0</v>
      </c>
      <c r="E244" s="77" t="n">
        <f aca="false">IF(COUNTIFS(Impostazioni!$A$16:$A$23,"&lt;="&amp;A244,Impostazioni!$B$16:$B$23,"&gt;="&amp;A244)&gt;0,1,0)</f>
        <v>0</v>
      </c>
      <c r="F244" s="77" t="n">
        <f aca="false">IF(AND(C244=1,D244=0,E244=0),1,0)</f>
        <v>1</v>
      </c>
      <c r="G244" s="77" t="n">
        <f aca="false">(YEAR(A244)-YEAR(Impostazioni!$B$11))*12+MONTH(A244)-MONTH(Impostazioni!$B$11)</f>
        <v>7</v>
      </c>
      <c r="H244" s="77" t="n">
        <f aca="false">INT((DAY(A244)-1+WEEKDAY(DATE(YEAR(A244),MONTH(A244),1),2)-1)/7)</f>
        <v>5</v>
      </c>
      <c r="I244" s="77" t="str">
        <f aca="false">IF(G244&gt;11,"",INDEX(Calendario!$A$14:$G$193,4+15*G244+2*H244,WEEKDAY(A244,2))&amp;"")</f>
        <v/>
      </c>
      <c r="J244" s="77" t="n">
        <f aca="false">IF(AND(F244=1,I244="A"),1,0)</f>
        <v>0</v>
      </c>
      <c r="K244" s="77" t="n">
        <f aca="false">IF(AND(F244=1,I244="G"),1,0)</f>
        <v>0</v>
      </c>
      <c r="L244" s="77" t="n">
        <f aca="false">IF(AND(F244=1,A244&gt;=Impostazioni!$B$8),1,0)</f>
        <v>1</v>
      </c>
      <c r="M244" s="77" t="n">
        <f aca="false">IF(C244=0,3,IF(OR(D244=1,E244=1),2,IF(WEEKDAY(A244,2)&gt;5,1,0)))</f>
        <v>0</v>
      </c>
      <c r="N244" s="77" t="str">
        <f aca="false">IF(OR(I244="A",I244="G"),MAX(N$1:N243)+1,"")</f>
        <v/>
      </c>
    </row>
    <row r="245" customFormat="false" ht="15" hidden="false" customHeight="false" outlineLevel="0" collapsed="false">
      <c r="A245" s="75" t="n">
        <f aca="false">A244+1</f>
        <v>46539</v>
      </c>
      <c r="B245" s="76" t="n">
        <f aca="false">DATE(YEAR(A245),MONTH(A245),1)</f>
        <v>46539</v>
      </c>
      <c r="C245" s="77" t="n">
        <f aca="false">IF(AND(A245&gt;=Impostazioni!$B$4,A245&lt;=Impostazioni!$B$5),1,0)</f>
        <v>1</v>
      </c>
      <c r="D245" s="77" t="n">
        <f aca="false">IF(COUNTIF(Impostazioni!$A$27:$A$56,A245)&gt;0,1,0)</f>
        <v>0</v>
      </c>
      <c r="E245" s="77" t="n">
        <f aca="false">IF(COUNTIFS(Impostazioni!$A$16:$A$23,"&lt;="&amp;A245,Impostazioni!$B$16:$B$23,"&gt;="&amp;A245)&gt;0,1,0)</f>
        <v>0</v>
      </c>
      <c r="F245" s="77" t="n">
        <f aca="false">IF(AND(C245=1,D245=0,E245=0),1,0)</f>
        <v>1</v>
      </c>
      <c r="G245" s="77" t="n">
        <f aca="false">(YEAR(A245)-YEAR(Impostazioni!$B$11))*12+MONTH(A245)-MONTH(Impostazioni!$B$11)</f>
        <v>8</v>
      </c>
      <c r="H245" s="77" t="n">
        <f aca="false">INT((DAY(A245)-1+WEEKDAY(DATE(YEAR(A245),MONTH(A245),1),2)-1)/7)</f>
        <v>0</v>
      </c>
      <c r="I245" s="77" t="str">
        <f aca="false">IF(G245&gt;11,"",INDEX(Calendario!$A$14:$G$193,4+15*G245+2*H245,WEEKDAY(A245,2))&amp;"")</f>
        <v/>
      </c>
      <c r="J245" s="77" t="n">
        <f aca="false">IF(AND(F245=1,I245="A"),1,0)</f>
        <v>0</v>
      </c>
      <c r="K245" s="77" t="n">
        <f aca="false">IF(AND(F245=1,I245="G"),1,0)</f>
        <v>0</v>
      </c>
      <c r="L245" s="77" t="n">
        <f aca="false">IF(AND(F245=1,A245&gt;=Impostazioni!$B$8),1,0)</f>
        <v>1</v>
      </c>
      <c r="M245" s="77" t="n">
        <f aca="false">IF(C245=0,3,IF(OR(D245=1,E245=1),2,IF(WEEKDAY(A245,2)&gt;5,1,0)))</f>
        <v>0</v>
      </c>
      <c r="N245" s="77" t="str">
        <f aca="false">IF(OR(I245="A",I245="G"),MAX(N$1:N244)+1,"")</f>
        <v/>
      </c>
    </row>
    <row r="246" customFormat="false" ht="15" hidden="false" customHeight="false" outlineLevel="0" collapsed="false">
      <c r="A246" s="75" t="n">
        <f aca="false">A245+1</f>
        <v>46540</v>
      </c>
      <c r="B246" s="76" t="n">
        <f aca="false">DATE(YEAR(A246),MONTH(A246),1)</f>
        <v>46539</v>
      </c>
      <c r="C246" s="77" t="n">
        <f aca="false">IF(AND(A246&gt;=Impostazioni!$B$4,A246&lt;=Impostazioni!$B$5),1,0)</f>
        <v>1</v>
      </c>
      <c r="D246" s="77" t="n">
        <f aca="false">IF(COUNTIF(Impostazioni!$A$27:$A$56,A246)&gt;0,1,0)</f>
        <v>1</v>
      </c>
      <c r="E246" s="77" t="n">
        <f aca="false">IF(COUNTIFS(Impostazioni!$A$16:$A$23,"&lt;="&amp;A246,Impostazioni!$B$16:$B$23,"&gt;="&amp;A246)&gt;0,1,0)</f>
        <v>0</v>
      </c>
      <c r="F246" s="77" t="n">
        <f aca="false">IF(AND(C246=1,D246=0,E246=0),1,0)</f>
        <v>0</v>
      </c>
      <c r="G246" s="77" t="n">
        <f aca="false">(YEAR(A246)-YEAR(Impostazioni!$B$11))*12+MONTH(A246)-MONTH(Impostazioni!$B$11)</f>
        <v>8</v>
      </c>
      <c r="H246" s="77" t="n">
        <f aca="false">INT((DAY(A246)-1+WEEKDAY(DATE(YEAR(A246),MONTH(A246),1),2)-1)/7)</f>
        <v>0</v>
      </c>
      <c r="I246" s="77" t="str">
        <f aca="false">IF(G246&gt;11,"",INDEX(Calendario!$A$14:$G$193,4+15*G246+2*H246,WEEKDAY(A246,2))&amp;"")</f>
        <v/>
      </c>
      <c r="J246" s="77" t="n">
        <f aca="false">IF(AND(F246=1,I246="A"),1,0)</f>
        <v>0</v>
      </c>
      <c r="K246" s="77" t="n">
        <f aca="false">IF(AND(F246=1,I246="G"),1,0)</f>
        <v>0</v>
      </c>
      <c r="L246" s="77" t="n">
        <f aca="false">IF(AND(F246=1,A246&gt;=Impostazioni!$B$8),1,0)</f>
        <v>0</v>
      </c>
      <c r="M246" s="77" t="n">
        <f aca="false">IF(C246=0,3,IF(OR(D246=1,E246=1),2,IF(WEEKDAY(A246,2)&gt;5,1,0)))</f>
        <v>2</v>
      </c>
      <c r="N246" s="77" t="str">
        <f aca="false">IF(OR(I246="A",I246="G"),MAX(N$1:N245)+1,"")</f>
        <v/>
      </c>
    </row>
    <row r="247" customFormat="false" ht="15" hidden="false" customHeight="false" outlineLevel="0" collapsed="false">
      <c r="A247" s="75" t="n">
        <f aca="false">A246+1</f>
        <v>46541</v>
      </c>
      <c r="B247" s="76" t="n">
        <f aca="false">DATE(YEAR(A247),MONTH(A247),1)</f>
        <v>46539</v>
      </c>
      <c r="C247" s="77" t="n">
        <f aca="false">IF(AND(A247&gt;=Impostazioni!$B$4,A247&lt;=Impostazioni!$B$5),1,0)</f>
        <v>1</v>
      </c>
      <c r="D247" s="77" t="n">
        <f aca="false">IF(COUNTIF(Impostazioni!$A$27:$A$56,A247)&gt;0,1,0)</f>
        <v>0</v>
      </c>
      <c r="E247" s="77" t="n">
        <f aca="false">IF(COUNTIFS(Impostazioni!$A$16:$A$23,"&lt;="&amp;A247,Impostazioni!$B$16:$B$23,"&gt;="&amp;A247)&gt;0,1,0)</f>
        <v>0</v>
      </c>
      <c r="F247" s="77" t="n">
        <f aca="false">IF(AND(C247=1,D247=0,E247=0),1,0)</f>
        <v>1</v>
      </c>
      <c r="G247" s="77" t="n">
        <f aca="false">(YEAR(A247)-YEAR(Impostazioni!$B$11))*12+MONTH(A247)-MONTH(Impostazioni!$B$11)</f>
        <v>8</v>
      </c>
      <c r="H247" s="77" t="n">
        <f aca="false">INT((DAY(A247)-1+WEEKDAY(DATE(YEAR(A247),MONTH(A247),1),2)-1)/7)</f>
        <v>0</v>
      </c>
      <c r="I247" s="77" t="str">
        <f aca="false">IF(G247&gt;11,"",INDEX(Calendario!$A$14:$G$193,4+15*G247+2*H247,WEEKDAY(A247,2))&amp;"")</f>
        <v/>
      </c>
      <c r="J247" s="77" t="n">
        <f aca="false">IF(AND(F247=1,I247="A"),1,0)</f>
        <v>0</v>
      </c>
      <c r="K247" s="77" t="n">
        <f aca="false">IF(AND(F247=1,I247="G"),1,0)</f>
        <v>0</v>
      </c>
      <c r="L247" s="77" t="n">
        <f aca="false">IF(AND(F247=1,A247&gt;=Impostazioni!$B$8),1,0)</f>
        <v>1</v>
      </c>
      <c r="M247" s="77" t="n">
        <f aca="false">IF(C247=0,3,IF(OR(D247=1,E247=1),2,IF(WEEKDAY(A247,2)&gt;5,1,0)))</f>
        <v>0</v>
      </c>
      <c r="N247" s="77" t="str">
        <f aca="false">IF(OR(I247="A",I247="G"),MAX(N$1:N246)+1,"")</f>
        <v/>
      </c>
    </row>
    <row r="248" customFormat="false" ht="15" hidden="false" customHeight="false" outlineLevel="0" collapsed="false">
      <c r="A248" s="75" t="n">
        <f aca="false">A247+1</f>
        <v>46542</v>
      </c>
      <c r="B248" s="76" t="n">
        <f aca="false">DATE(YEAR(A248),MONTH(A248),1)</f>
        <v>46539</v>
      </c>
      <c r="C248" s="77" t="n">
        <f aca="false">IF(AND(A248&gt;=Impostazioni!$B$4,A248&lt;=Impostazioni!$B$5),1,0)</f>
        <v>1</v>
      </c>
      <c r="D248" s="77" t="n">
        <f aca="false">IF(COUNTIF(Impostazioni!$A$27:$A$56,A248)&gt;0,1,0)</f>
        <v>0</v>
      </c>
      <c r="E248" s="77" t="n">
        <f aca="false">IF(COUNTIFS(Impostazioni!$A$16:$A$23,"&lt;="&amp;A248,Impostazioni!$B$16:$B$23,"&gt;="&amp;A248)&gt;0,1,0)</f>
        <v>0</v>
      </c>
      <c r="F248" s="77" t="n">
        <f aca="false">IF(AND(C248=1,D248=0,E248=0),1,0)</f>
        <v>1</v>
      </c>
      <c r="G248" s="77" t="n">
        <f aca="false">(YEAR(A248)-YEAR(Impostazioni!$B$11))*12+MONTH(A248)-MONTH(Impostazioni!$B$11)</f>
        <v>8</v>
      </c>
      <c r="H248" s="77" t="n">
        <f aca="false">INT((DAY(A248)-1+WEEKDAY(DATE(YEAR(A248),MONTH(A248),1),2)-1)/7)</f>
        <v>0</v>
      </c>
      <c r="I248" s="77" t="str">
        <f aca="false">IF(G248&gt;11,"",INDEX(Calendario!$A$14:$G$193,4+15*G248+2*H248,WEEKDAY(A248,2))&amp;"")</f>
        <v/>
      </c>
      <c r="J248" s="77" t="n">
        <f aca="false">IF(AND(F248=1,I248="A"),1,0)</f>
        <v>0</v>
      </c>
      <c r="K248" s="77" t="n">
        <f aca="false">IF(AND(F248=1,I248="G"),1,0)</f>
        <v>0</v>
      </c>
      <c r="L248" s="77" t="n">
        <f aca="false">IF(AND(F248=1,A248&gt;=Impostazioni!$B$8),1,0)</f>
        <v>1</v>
      </c>
      <c r="M248" s="77" t="n">
        <f aca="false">IF(C248=0,3,IF(OR(D248=1,E248=1),2,IF(WEEKDAY(A248,2)&gt;5,1,0)))</f>
        <v>0</v>
      </c>
      <c r="N248" s="77" t="str">
        <f aca="false">IF(OR(I248="A",I248="G"),MAX(N$1:N247)+1,"")</f>
        <v/>
      </c>
    </row>
    <row r="249" customFormat="false" ht="15" hidden="false" customHeight="false" outlineLevel="0" collapsed="false">
      <c r="A249" s="75" t="n">
        <f aca="false">A248+1</f>
        <v>46543</v>
      </c>
      <c r="B249" s="76" t="n">
        <f aca="false">DATE(YEAR(A249),MONTH(A249),1)</f>
        <v>46539</v>
      </c>
      <c r="C249" s="77" t="n">
        <f aca="false">IF(AND(A249&gt;=Impostazioni!$B$4,A249&lt;=Impostazioni!$B$5),1,0)</f>
        <v>1</v>
      </c>
      <c r="D249" s="77" t="n">
        <f aca="false">IF(COUNTIF(Impostazioni!$A$27:$A$56,A249)&gt;0,1,0)</f>
        <v>0</v>
      </c>
      <c r="E249" s="77" t="n">
        <f aca="false">IF(COUNTIFS(Impostazioni!$A$16:$A$23,"&lt;="&amp;A249,Impostazioni!$B$16:$B$23,"&gt;="&amp;A249)&gt;0,1,0)</f>
        <v>0</v>
      </c>
      <c r="F249" s="77" t="n">
        <f aca="false">IF(AND(C249=1,D249=0,E249=0),1,0)</f>
        <v>1</v>
      </c>
      <c r="G249" s="77" t="n">
        <f aca="false">(YEAR(A249)-YEAR(Impostazioni!$B$11))*12+MONTH(A249)-MONTH(Impostazioni!$B$11)</f>
        <v>8</v>
      </c>
      <c r="H249" s="77" t="n">
        <f aca="false">INT((DAY(A249)-1+WEEKDAY(DATE(YEAR(A249),MONTH(A249),1),2)-1)/7)</f>
        <v>0</v>
      </c>
      <c r="I249" s="77" t="str">
        <f aca="false">IF(G249&gt;11,"",INDEX(Calendario!$A$14:$G$193,4+15*G249+2*H249,WEEKDAY(A249,2))&amp;"")</f>
        <v/>
      </c>
      <c r="J249" s="77" t="n">
        <f aca="false">IF(AND(F249=1,I249="A"),1,0)</f>
        <v>0</v>
      </c>
      <c r="K249" s="77" t="n">
        <f aca="false">IF(AND(F249=1,I249="G"),1,0)</f>
        <v>0</v>
      </c>
      <c r="L249" s="77" t="n">
        <f aca="false">IF(AND(F249=1,A249&gt;=Impostazioni!$B$8),1,0)</f>
        <v>1</v>
      </c>
      <c r="M249" s="77" t="n">
        <f aca="false">IF(C249=0,3,IF(OR(D249=1,E249=1),2,IF(WEEKDAY(A249,2)&gt;5,1,0)))</f>
        <v>1</v>
      </c>
      <c r="N249" s="77" t="str">
        <f aca="false">IF(OR(I249="A",I249="G"),MAX(N$1:N248)+1,"")</f>
        <v/>
      </c>
    </row>
    <row r="250" customFormat="false" ht="15" hidden="false" customHeight="false" outlineLevel="0" collapsed="false">
      <c r="A250" s="75" t="n">
        <f aca="false">A249+1</f>
        <v>46544</v>
      </c>
      <c r="B250" s="76" t="n">
        <f aca="false">DATE(YEAR(A250),MONTH(A250),1)</f>
        <v>46539</v>
      </c>
      <c r="C250" s="77" t="n">
        <f aca="false">IF(AND(A250&gt;=Impostazioni!$B$4,A250&lt;=Impostazioni!$B$5),1,0)</f>
        <v>1</v>
      </c>
      <c r="D250" s="77" t="n">
        <f aca="false">IF(COUNTIF(Impostazioni!$A$27:$A$56,A250)&gt;0,1,0)</f>
        <v>0</v>
      </c>
      <c r="E250" s="77" t="n">
        <f aca="false">IF(COUNTIFS(Impostazioni!$A$16:$A$23,"&lt;="&amp;A250,Impostazioni!$B$16:$B$23,"&gt;="&amp;A250)&gt;0,1,0)</f>
        <v>0</v>
      </c>
      <c r="F250" s="77" t="n">
        <f aca="false">IF(AND(C250=1,D250=0,E250=0),1,0)</f>
        <v>1</v>
      </c>
      <c r="G250" s="77" t="n">
        <f aca="false">(YEAR(A250)-YEAR(Impostazioni!$B$11))*12+MONTH(A250)-MONTH(Impostazioni!$B$11)</f>
        <v>8</v>
      </c>
      <c r="H250" s="77" t="n">
        <f aca="false">INT((DAY(A250)-1+WEEKDAY(DATE(YEAR(A250),MONTH(A250),1),2)-1)/7)</f>
        <v>0</v>
      </c>
      <c r="I250" s="77" t="str">
        <f aca="false">IF(G250&gt;11,"",INDEX(Calendario!$A$14:$G$193,4+15*G250+2*H250,WEEKDAY(A250,2))&amp;"")</f>
        <v/>
      </c>
      <c r="J250" s="77" t="n">
        <f aca="false">IF(AND(F250=1,I250="A"),1,0)</f>
        <v>0</v>
      </c>
      <c r="K250" s="77" t="n">
        <f aca="false">IF(AND(F250=1,I250="G"),1,0)</f>
        <v>0</v>
      </c>
      <c r="L250" s="77" t="n">
        <f aca="false">IF(AND(F250=1,A250&gt;=Impostazioni!$B$8),1,0)</f>
        <v>1</v>
      </c>
      <c r="M250" s="77" t="n">
        <f aca="false">IF(C250=0,3,IF(OR(D250=1,E250=1),2,IF(WEEKDAY(A250,2)&gt;5,1,0)))</f>
        <v>1</v>
      </c>
      <c r="N250" s="77" t="str">
        <f aca="false">IF(OR(I250="A",I250="G"),MAX(N$1:N249)+1,"")</f>
        <v/>
      </c>
    </row>
    <row r="251" customFormat="false" ht="15" hidden="false" customHeight="false" outlineLevel="0" collapsed="false">
      <c r="A251" s="75" t="n">
        <f aca="false">A250+1</f>
        <v>46545</v>
      </c>
      <c r="B251" s="76" t="n">
        <f aca="false">DATE(YEAR(A251),MONTH(A251),1)</f>
        <v>46539</v>
      </c>
      <c r="C251" s="77" t="n">
        <f aca="false">IF(AND(A251&gt;=Impostazioni!$B$4,A251&lt;=Impostazioni!$B$5),1,0)</f>
        <v>1</v>
      </c>
      <c r="D251" s="77" t="n">
        <f aca="false">IF(COUNTIF(Impostazioni!$A$27:$A$56,A251)&gt;0,1,0)</f>
        <v>0</v>
      </c>
      <c r="E251" s="77" t="n">
        <f aca="false">IF(COUNTIFS(Impostazioni!$A$16:$A$23,"&lt;="&amp;A251,Impostazioni!$B$16:$B$23,"&gt;="&amp;A251)&gt;0,1,0)</f>
        <v>0</v>
      </c>
      <c r="F251" s="77" t="n">
        <f aca="false">IF(AND(C251=1,D251=0,E251=0),1,0)</f>
        <v>1</v>
      </c>
      <c r="G251" s="77" t="n">
        <f aca="false">(YEAR(A251)-YEAR(Impostazioni!$B$11))*12+MONTH(A251)-MONTH(Impostazioni!$B$11)</f>
        <v>8</v>
      </c>
      <c r="H251" s="77" t="n">
        <f aca="false">INT((DAY(A251)-1+WEEKDAY(DATE(YEAR(A251),MONTH(A251),1),2)-1)/7)</f>
        <v>1</v>
      </c>
      <c r="I251" s="77" t="str">
        <f aca="false">IF(G251&gt;11,"",INDEX(Calendario!$A$14:$G$193,4+15*G251+2*H251,WEEKDAY(A251,2))&amp;"")</f>
        <v/>
      </c>
      <c r="J251" s="77" t="n">
        <f aca="false">IF(AND(F251=1,I251="A"),1,0)</f>
        <v>0</v>
      </c>
      <c r="K251" s="77" t="n">
        <f aca="false">IF(AND(F251=1,I251="G"),1,0)</f>
        <v>0</v>
      </c>
      <c r="L251" s="77" t="n">
        <f aca="false">IF(AND(F251=1,A251&gt;=Impostazioni!$B$8),1,0)</f>
        <v>1</v>
      </c>
      <c r="M251" s="77" t="n">
        <f aca="false">IF(C251=0,3,IF(OR(D251=1,E251=1),2,IF(WEEKDAY(A251,2)&gt;5,1,0)))</f>
        <v>0</v>
      </c>
      <c r="N251" s="77" t="str">
        <f aca="false">IF(OR(I251="A",I251="G"),MAX(N$1:N250)+1,"")</f>
        <v/>
      </c>
    </row>
    <row r="252" customFormat="false" ht="15" hidden="false" customHeight="false" outlineLevel="0" collapsed="false">
      <c r="A252" s="75" t="n">
        <f aca="false">A251+1</f>
        <v>46546</v>
      </c>
      <c r="B252" s="76" t="n">
        <f aca="false">DATE(YEAR(A252),MONTH(A252),1)</f>
        <v>46539</v>
      </c>
      <c r="C252" s="77" t="n">
        <f aca="false">IF(AND(A252&gt;=Impostazioni!$B$4,A252&lt;=Impostazioni!$B$5),1,0)</f>
        <v>1</v>
      </c>
      <c r="D252" s="77" t="n">
        <f aca="false">IF(COUNTIF(Impostazioni!$A$27:$A$56,A252)&gt;0,1,0)</f>
        <v>0</v>
      </c>
      <c r="E252" s="77" t="n">
        <f aca="false">IF(COUNTIFS(Impostazioni!$A$16:$A$23,"&lt;="&amp;A252,Impostazioni!$B$16:$B$23,"&gt;="&amp;A252)&gt;0,1,0)</f>
        <v>0</v>
      </c>
      <c r="F252" s="77" t="n">
        <f aca="false">IF(AND(C252=1,D252=0,E252=0),1,0)</f>
        <v>1</v>
      </c>
      <c r="G252" s="77" t="n">
        <f aca="false">(YEAR(A252)-YEAR(Impostazioni!$B$11))*12+MONTH(A252)-MONTH(Impostazioni!$B$11)</f>
        <v>8</v>
      </c>
      <c r="H252" s="77" t="n">
        <f aca="false">INT((DAY(A252)-1+WEEKDAY(DATE(YEAR(A252),MONTH(A252),1),2)-1)/7)</f>
        <v>1</v>
      </c>
      <c r="I252" s="77" t="str">
        <f aca="false">IF(G252&gt;11,"",INDEX(Calendario!$A$14:$G$193,4+15*G252+2*H252,WEEKDAY(A252,2))&amp;"")</f>
        <v/>
      </c>
      <c r="J252" s="77" t="n">
        <f aca="false">IF(AND(F252=1,I252="A"),1,0)</f>
        <v>0</v>
      </c>
      <c r="K252" s="77" t="n">
        <f aca="false">IF(AND(F252=1,I252="G"),1,0)</f>
        <v>0</v>
      </c>
      <c r="L252" s="77" t="n">
        <f aca="false">IF(AND(F252=1,A252&gt;=Impostazioni!$B$8),1,0)</f>
        <v>1</v>
      </c>
      <c r="M252" s="77" t="n">
        <f aca="false">IF(C252=0,3,IF(OR(D252=1,E252=1),2,IF(WEEKDAY(A252,2)&gt;5,1,0)))</f>
        <v>0</v>
      </c>
      <c r="N252" s="77" t="str">
        <f aca="false">IF(OR(I252="A",I252="G"),MAX(N$1:N251)+1,"")</f>
        <v/>
      </c>
    </row>
    <row r="253" customFormat="false" ht="15" hidden="false" customHeight="false" outlineLevel="0" collapsed="false">
      <c r="A253" s="75" t="n">
        <f aca="false">A252+1</f>
        <v>46547</v>
      </c>
      <c r="B253" s="76" t="n">
        <f aca="false">DATE(YEAR(A253),MONTH(A253),1)</f>
        <v>46539</v>
      </c>
      <c r="C253" s="77" t="n">
        <f aca="false">IF(AND(A253&gt;=Impostazioni!$B$4,A253&lt;=Impostazioni!$B$5),1,0)</f>
        <v>1</v>
      </c>
      <c r="D253" s="77" t="n">
        <f aca="false">IF(COUNTIF(Impostazioni!$A$27:$A$56,A253)&gt;0,1,0)</f>
        <v>0</v>
      </c>
      <c r="E253" s="77" t="n">
        <f aca="false">IF(COUNTIFS(Impostazioni!$A$16:$A$23,"&lt;="&amp;A253,Impostazioni!$B$16:$B$23,"&gt;="&amp;A253)&gt;0,1,0)</f>
        <v>0</v>
      </c>
      <c r="F253" s="77" t="n">
        <f aca="false">IF(AND(C253=1,D253=0,E253=0),1,0)</f>
        <v>1</v>
      </c>
      <c r="G253" s="77" t="n">
        <f aca="false">(YEAR(A253)-YEAR(Impostazioni!$B$11))*12+MONTH(A253)-MONTH(Impostazioni!$B$11)</f>
        <v>8</v>
      </c>
      <c r="H253" s="77" t="n">
        <f aca="false">INT((DAY(A253)-1+WEEKDAY(DATE(YEAR(A253),MONTH(A253),1),2)-1)/7)</f>
        <v>1</v>
      </c>
      <c r="I253" s="77" t="str">
        <f aca="false">IF(G253&gt;11,"",INDEX(Calendario!$A$14:$G$193,4+15*G253+2*H253,WEEKDAY(A253,2))&amp;"")</f>
        <v/>
      </c>
      <c r="J253" s="77" t="n">
        <f aca="false">IF(AND(F253=1,I253="A"),1,0)</f>
        <v>0</v>
      </c>
      <c r="K253" s="77" t="n">
        <f aca="false">IF(AND(F253=1,I253="G"),1,0)</f>
        <v>0</v>
      </c>
      <c r="L253" s="77" t="n">
        <f aca="false">IF(AND(F253=1,A253&gt;=Impostazioni!$B$8),1,0)</f>
        <v>1</v>
      </c>
      <c r="M253" s="77" t="n">
        <f aca="false">IF(C253=0,3,IF(OR(D253=1,E253=1),2,IF(WEEKDAY(A253,2)&gt;5,1,0)))</f>
        <v>0</v>
      </c>
      <c r="N253" s="77" t="str">
        <f aca="false">IF(OR(I253="A",I253="G"),MAX(N$1:N252)+1,"")</f>
        <v/>
      </c>
    </row>
    <row r="254" customFormat="false" ht="15" hidden="false" customHeight="false" outlineLevel="0" collapsed="false">
      <c r="A254" s="75" t="n">
        <f aca="false">A253+1</f>
        <v>46548</v>
      </c>
      <c r="B254" s="76" t="n">
        <f aca="false">DATE(YEAR(A254),MONTH(A254),1)</f>
        <v>46539</v>
      </c>
      <c r="C254" s="77" t="n">
        <f aca="false">IF(AND(A254&gt;=Impostazioni!$B$4,A254&lt;=Impostazioni!$B$5),1,0)</f>
        <v>1</v>
      </c>
      <c r="D254" s="77" t="n">
        <f aca="false">IF(COUNTIF(Impostazioni!$A$27:$A$56,A254)&gt;0,1,0)</f>
        <v>0</v>
      </c>
      <c r="E254" s="77" t="n">
        <f aca="false">IF(COUNTIFS(Impostazioni!$A$16:$A$23,"&lt;="&amp;A254,Impostazioni!$B$16:$B$23,"&gt;="&amp;A254)&gt;0,1,0)</f>
        <v>0</v>
      </c>
      <c r="F254" s="77" t="n">
        <f aca="false">IF(AND(C254=1,D254=0,E254=0),1,0)</f>
        <v>1</v>
      </c>
      <c r="G254" s="77" t="n">
        <f aca="false">(YEAR(A254)-YEAR(Impostazioni!$B$11))*12+MONTH(A254)-MONTH(Impostazioni!$B$11)</f>
        <v>8</v>
      </c>
      <c r="H254" s="77" t="n">
        <f aca="false">INT((DAY(A254)-1+WEEKDAY(DATE(YEAR(A254),MONTH(A254),1),2)-1)/7)</f>
        <v>1</v>
      </c>
      <c r="I254" s="77" t="str">
        <f aca="false">IF(G254&gt;11,"",INDEX(Calendario!$A$14:$G$193,4+15*G254+2*H254,WEEKDAY(A254,2))&amp;"")</f>
        <v/>
      </c>
      <c r="J254" s="77" t="n">
        <f aca="false">IF(AND(F254=1,I254="A"),1,0)</f>
        <v>0</v>
      </c>
      <c r="K254" s="77" t="n">
        <f aca="false">IF(AND(F254=1,I254="G"),1,0)</f>
        <v>0</v>
      </c>
      <c r="L254" s="77" t="n">
        <f aca="false">IF(AND(F254=1,A254&gt;=Impostazioni!$B$8),1,0)</f>
        <v>1</v>
      </c>
      <c r="M254" s="77" t="n">
        <f aca="false">IF(C254=0,3,IF(OR(D254=1,E254=1),2,IF(WEEKDAY(A254,2)&gt;5,1,0)))</f>
        <v>0</v>
      </c>
      <c r="N254" s="77" t="str">
        <f aca="false">IF(OR(I254="A",I254="G"),MAX(N$1:N253)+1,"")</f>
        <v/>
      </c>
    </row>
    <row r="255" customFormat="false" ht="15" hidden="false" customHeight="false" outlineLevel="0" collapsed="false">
      <c r="A255" s="75" t="n">
        <f aca="false">A254+1</f>
        <v>46549</v>
      </c>
      <c r="B255" s="76" t="n">
        <f aca="false">DATE(YEAR(A255),MONTH(A255),1)</f>
        <v>46539</v>
      </c>
      <c r="C255" s="77" t="n">
        <f aca="false">IF(AND(A255&gt;=Impostazioni!$B$4,A255&lt;=Impostazioni!$B$5),1,0)</f>
        <v>1</v>
      </c>
      <c r="D255" s="77" t="n">
        <f aca="false">IF(COUNTIF(Impostazioni!$A$27:$A$56,A255)&gt;0,1,0)</f>
        <v>0</v>
      </c>
      <c r="E255" s="77" t="n">
        <f aca="false">IF(COUNTIFS(Impostazioni!$A$16:$A$23,"&lt;="&amp;A255,Impostazioni!$B$16:$B$23,"&gt;="&amp;A255)&gt;0,1,0)</f>
        <v>0</v>
      </c>
      <c r="F255" s="77" t="n">
        <f aca="false">IF(AND(C255=1,D255=0,E255=0),1,0)</f>
        <v>1</v>
      </c>
      <c r="G255" s="77" t="n">
        <f aca="false">(YEAR(A255)-YEAR(Impostazioni!$B$11))*12+MONTH(A255)-MONTH(Impostazioni!$B$11)</f>
        <v>8</v>
      </c>
      <c r="H255" s="77" t="n">
        <f aca="false">INT((DAY(A255)-1+WEEKDAY(DATE(YEAR(A255),MONTH(A255),1),2)-1)/7)</f>
        <v>1</v>
      </c>
      <c r="I255" s="77" t="str">
        <f aca="false">IF(G255&gt;11,"",INDEX(Calendario!$A$14:$G$193,4+15*G255+2*H255,WEEKDAY(A255,2))&amp;"")</f>
        <v/>
      </c>
      <c r="J255" s="77" t="n">
        <f aca="false">IF(AND(F255=1,I255="A"),1,0)</f>
        <v>0</v>
      </c>
      <c r="K255" s="77" t="n">
        <f aca="false">IF(AND(F255=1,I255="G"),1,0)</f>
        <v>0</v>
      </c>
      <c r="L255" s="77" t="n">
        <f aca="false">IF(AND(F255=1,A255&gt;=Impostazioni!$B$8),1,0)</f>
        <v>1</v>
      </c>
      <c r="M255" s="77" t="n">
        <f aca="false">IF(C255=0,3,IF(OR(D255=1,E255=1),2,IF(WEEKDAY(A255,2)&gt;5,1,0)))</f>
        <v>0</v>
      </c>
      <c r="N255" s="77" t="str">
        <f aca="false">IF(OR(I255="A",I255="G"),MAX(N$1:N254)+1,"")</f>
        <v/>
      </c>
    </row>
    <row r="256" customFormat="false" ht="15" hidden="false" customHeight="false" outlineLevel="0" collapsed="false">
      <c r="A256" s="75" t="n">
        <f aca="false">A255+1</f>
        <v>46550</v>
      </c>
      <c r="B256" s="76" t="n">
        <f aca="false">DATE(YEAR(A256),MONTH(A256),1)</f>
        <v>46539</v>
      </c>
      <c r="C256" s="77" t="n">
        <f aca="false">IF(AND(A256&gt;=Impostazioni!$B$4,A256&lt;=Impostazioni!$B$5),1,0)</f>
        <v>1</v>
      </c>
      <c r="D256" s="77" t="n">
        <f aca="false">IF(COUNTIF(Impostazioni!$A$27:$A$56,A256)&gt;0,1,0)</f>
        <v>0</v>
      </c>
      <c r="E256" s="77" t="n">
        <f aca="false">IF(COUNTIFS(Impostazioni!$A$16:$A$23,"&lt;="&amp;A256,Impostazioni!$B$16:$B$23,"&gt;="&amp;A256)&gt;0,1,0)</f>
        <v>0</v>
      </c>
      <c r="F256" s="77" t="n">
        <f aca="false">IF(AND(C256=1,D256=0,E256=0),1,0)</f>
        <v>1</v>
      </c>
      <c r="G256" s="77" t="n">
        <f aca="false">(YEAR(A256)-YEAR(Impostazioni!$B$11))*12+MONTH(A256)-MONTH(Impostazioni!$B$11)</f>
        <v>8</v>
      </c>
      <c r="H256" s="77" t="n">
        <f aca="false">INT((DAY(A256)-1+WEEKDAY(DATE(YEAR(A256),MONTH(A256),1),2)-1)/7)</f>
        <v>1</v>
      </c>
      <c r="I256" s="77" t="str">
        <f aca="false">IF(G256&gt;11,"",INDEX(Calendario!$A$14:$G$193,4+15*G256+2*H256,WEEKDAY(A256,2))&amp;"")</f>
        <v/>
      </c>
      <c r="J256" s="77" t="n">
        <f aca="false">IF(AND(F256=1,I256="A"),1,0)</f>
        <v>0</v>
      </c>
      <c r="K256" s="77" t="n">
        <f aca="false">IF(AND(F256=1,I256="G"),1,0)</f>
        <v>0</v>
      </c>
      <c r="L256" s="77" t="n">
        <f aca="false">IF(AND(F256=1,A256&gt;=Impostazioni!$B$8),1,0)</f>
        <v>1</v>
      </c>
      <c r="M256" s="77" t="n">
        <f aca="false">IF(C256=0,3,IF(OR(D256=1,E256=1),2,IF(WEEKDAY(A256,2)&gt;5,1,0)))</f>
        <v>1</v>
      </c>
      <c r="N256" s="77" t="str">
        <f aca="false">IF(OR(I256="A",I256="G"),MAX(N$1:N255)+1,"")</f>
        <v/>
      </c>
    </row>
    <row r="257" customFormat="false" ht="15" hidden="false" customHeight="false" outlineLevel="0" collapsed="false">
      <c r="A257" s="75" t="n">
        <f aca="false">A256+1</f>
        <v>46551</v>
      </c>
      <c r="B257" s="76" t="n">
        <f aca="false">DATE(YEAR(A257),MONTH(A257),1)</f>
        <v>46539</v>
      </c>
      <c r="C257" s="77" t="n">
        <f aca="false">IF(AND(A257&gt;=Impostazioni!$B$4,A257&lt;=Impostazioni!$B$5),1,0)</f>
        <v>1</v>
      </c>
      <c r="D257" s="77" t="n">
        <f aca="false">IF(COUNTIF(Impostazioni!$A$27:$A$56,A257)&gt;0,1,0)</f>
        <v>0</v>
      </c>
      <c r="E257" s="77" t="n">
        <f aca="false">IF(COUNTIFS(Impostazioni!$A$16:$A$23,"&lt;="&amp;A257,Impostazioni!$B$16:$B$23,"&gt;="&amp;A257)&gt;0,1,0)</f>
        <v>0</v>
      </c>
      <c r="F257" s="77" t="n">
        <f aca="false">IF(AND(C257=1,D257=0,E257=0),1,0)</f>
        <v>1</v>
      </c>
      <c r="G257" s="77" t="n">
        <f aca="false">(YEAR(A257)-YEAR(Impostazioni!$B$11))*12+MONTH(A257)-MONTH(Impostazioni!$B$11)</f>
        <v>8</v>
      </c>
      <c r="H257" s="77" t="n">
        <f aca="false">INT((DAY(A257)-1+WEEKDAY(DATE(YEAR(A257),MONTH(A257),1),2)-1)/7)</f>
        <v>1</v>
      </c>
      <c r="I257" s="77" t="str">
        <f aca="false">IF(G257&gt;11,"",INDEX(Calendario!$A$14:$G$193,4+15*G257+2*H257,WEEKDAY(A257,2))&amp;"")</f>
        <v/>
      </c>
      <c r="J257" s="77" t="n">
        <f aca="false">IF(AND(F257=1,I257="A"),1,0)</f>
        <v>0</v>
      </c>
      <c r="K257" s="77" t="n">
        <f aca="false">IF(AND(F257=1,I257="G"),1,0)</f>
        <v>0</v>
      </c>
      <c r="L257" s="77" t="n">
        <f aca="false">IF(AND(F257=1,A257&gt;=Impostazioni!$B$8),1,0)</f>
        <v>1</v>
      </c>
      <c r="M257" s="77" t="n">
        <f aca="false">IF(C257=0,3,IF(OR(D257=1,E257=1),2,IF(WEEKDAY(A257,2)&gt;5,1,0)))</f>
        <v>1</v>
      </c>
      <c r="N257" s="77" t="str">
        <f aca="false">IF(OR(I257="A",I257="G"),MAX(N$1:N256)+1,"")</f>
        <v/>
      </c>
    </row>
    <row r="258" customFormat="false" ht="15" hidden="false" customHeight="false" outlineLevel="0" collapsed="false">
      <c r="A258" s="75" t="n">
        <f aca="false">A257+1</f>
        <v>46552</v>
      </c>
      <c r="B258" s="76" t="n">
        <f aca="false">DATE(YEAR(A258),MONTH(A258),1)</f>
        <v>46539</v>
      </c>
      <c r="C258" s="77" t="n">
        <f aca="false">IF(AND(A258&gt;=Impostazioni!$B$4,A258&lt;=Impostazioni!$B$5),1,0)</f>
        <v>1</v>
      </c>
      <c r="D258" s="77" t="n">
        <f aca="false">IF(COUNTIF(Impostazioni!$A$27:$A$56,A258)&gt;0,1,0)</f>
        <v>0</v>
      </c>
      <c r="E258" s="77" t="n">
        <f aca="false">IF(COUNTIFS(Impostazioni!$A$16:$A$23,"&lt;="&amp;A258,Impostazioni!$B$16:$B$23,"&gt;="&amp;A258)&gt;0,1,0)</f>
        <v>0</v>
      </c>
      <c r="F258" s="77" t="n">
        <f aca="false">IF(AND(C258=1,D258=0,E258=0),1,0)</f>
        <v>1</v>
      </c>
      <c r="G258" s="77" t="n">
        <f aca="false">(YEAR(A258)-YEAR(Impostazioni!$B$11))*12+MONTH(A258)-MONTH(Impostazioni!$B$11)</f>
        <v>8</v>
      </c>
      <c r="H258" s="77" t="n">
        <f aca="false">INT((DAY(A258)-1+WEEKDAY(DATE(YEAR(A258),MONTH(A258),1),2)-1)/7)</f>
        <v>2</v>
      </c>
      <c r="I258" s="77" t="str">
        <f aca="false">IF(G258&gt;11,"",INDEX(Calendario!$A$14:$G$193,4+15*G258+2*H258,WEEKDAY(A258,2))&amp;"")</f>
        <v/>
      </c>
      <c r="J258" s="77" t="n">
        <f aca="false">IF(AND(F258=1,I258="A"),1,0)</f>
        <v>0</v>
      </c>
      <c r="K258" s="77" t="n">
        <f aca="false">IF(AND(F258=1,I258="G"),1,0)</f>
        <v>0</v>
      </c>
      <c r="L258" s="77" t="n">
        <f aca="false">IF(AND(F258=1,A258&gt;=Impostazioni!$B$8),1,0)</f>
        <v>1</v>
      </c>
      <c r="M258" s="77" t="n">
        <f aca="false">IF(C258=0,3,IF(OR(D258=1,E258=1),2,IF(WEEKDAY(A258,2)&gt;5,1,0)))</f>
        <v>0</v>
      </c>
      <c r="N258" s="77" t="str">
        <f aca="false">IF(OR(I258="A",I258="G"),MAX(N$1:N257)+1,"")</f>
        <v/>
      </c>
    </row>
    <row r="259" customFormat="false" ht="15" hidden="false" customHeight="false" outlineLevel="0" collapsed="false">
      <c r="A259" s="75" t="n">
        <f aca="false">A258+1</f>
        <v>46553</v>
      </c>
      <c r="B259" s="76" t="n">
        <f aca="false">DATE(YEAR(A259),MONTH(A259),1)</f>
        <v>46539</v>
      </c>
      <c r="C259" s="77" t="n">
        <f aca="false">IF(AND(A259&gt;=Impostazioni!$B$4,A259&lt;=Impostazioni!$B$5),1,0)</f>
        <v>1</v>
      </c>
      <c r="D259" s="77" t="n">
        <f aca="false">IF(COUNTIF(Impostazioni!$A$27:$A$56,A259)&gt;0,1,0)</f>
        <v>0</v>
      </c>
      <c r="E259" s="77" t="n">
        <f aca="false">IF(COUNTIFS(Impostazioni!$A$16:$A$23,"&lt;="&amp;A259,Impostazioni!$B$16:$B$23,"&gt;="&amp;A259)&gt;0,1,0)</f>
        <v>0</v>
      </c>
      <c r="F259" s="77" t="n">
        <f aca="false">IF(AND(C259=1,D259=0,E259=0),1,0)</f>
        <v>1</v>
      </c>
      <c r="G259" s="77" t="n">
        <f aca="false">(YEAR(A259)-YEAR(Impostazioni!$B$11))*12+MONTH(A259)-MONTH(Impostazioni!$B$11)</f>
        <v>8</v>
      </c>
      <c r="H259" s="77" t="n">
        <f aca="false">INT((DAY(A259)-1+WEEKDAY(DATE(YEAR(A259),MONTH(A259),1),2)-1)/7)</f>
        <v>2</v>
      </c>
      <c r="I259" s="77" t="str">
        <f aca="false">IF(G259&gt;11,"",INDEX(Calendario!$A$14:$G$193,4+15*G259+2*H259,WEEKDAY(A259,2))&amp;"")</f>
        <v/>
      </c>
      <c r="J259" s="77" t="n">
        <f aca="false">IF(AND(F259=1,I259="A"),1,0)</f>
        <v>0</v>
      </c>
      <c r="K259" s="77" t="n">
        <f aca="false">IF(AND(F259=1,I259="G"),1,0)</f>
        <v>0</v>
      </c>
      <c r="L259" s="77" t="n">
        <f aca="false">IF(AND(F259=1,A259&gt;=Impostazioni!$B$8),1,0)</f>
        <v>1</v>
      </c>
      <c r="M259" s="77" t="n">
        <f aca="false">IF(C259=0,3,IF(OR(D259=1,E259=1),2,IF(WEEKDAY(A259,2)&gt;5,1,0)))</f>
        <v>0</v>
      </c>
      <c r="N259" s="77" t="str">
        <f aca="false">IF(OR(I259="A",I259="G"),MAX(N$1:N258)+1,"")</f>
        <v/>
      </c>
    </row>
    <row r="260" customFormat="false" ht="15" hidden="false" customHeight="false" outlineLevel="0" collapsed="false">
      <c r="A260" s="75" t="n">
        <f aca="false">A259+1</f>
        <v>46554</v>
      </c>
      <c r="B260" s="76" t="n">
        <f aca="false">DATE(YEAR(A260),MONTH(A260),1)</f>
        <v>46539</v>
      </c>
      <c r="C260" s="77" t="n">
        <f aca="false">IF(AND(A260&gt;=Impostazioni!$B$4,A260&lt;=Impostazioni!$B$5),1,0)</f>
        <v>1</v>
      </c>
      <c r="D260" s="77" t="n">
        <f aca="false">IF(COUNTIF(Impostazioni!$A$27:$A$56,A260)&gt;0,1,0)</f>
        <v>0</v>
      </c>
      <c r="E260" s="77" t="n">
        <f aca="false">IF(COUNTIFS(Impostazioni!$A$16:$A$23,"&lt;="&amp;A260,Impostazioni!$B$16:$B$23,"&gt;="&amp;A260)&gt;0,1,0)</f>
        <v>0</v>
      </c>
      <c r="F260" s="77" t="n">
        <f aca="false">IF(AND(C260=1,D260=0,E260=0),1,0)</f>
        <v>1</v>
      </c>
      <c r="G260" s="77" t="n">
        <f aca="false">(YEAR(A260)-YEAR(Impostazioni!$B$11))*12+MONTH(A260)-MONTH(Impostazioni!$B$11)</f>
        <v>8</v>
      </c>
      <c r="H260" s="77" t="n">
        <f aca="false">INT((DAY(A260)-1+WEEKDAY(DATE(YEAR(A260),MONTH(A260),1),2)-1)/7)</f>
        <v>2</v>
      </c>
      <c r="I260" s="77" t="str">
        <f aca="false">IF(G260&gt;11,"",INDEX(Calendario!$A$14:$G$193,4+15*G260+2*H260,WEEKDAY(A260,2))&amp;"")</f>
        <v/>
      </c>
      <c r="J260" s="77" t="n">
        <f aca="false">IF(AND(F260=1,I260="A"),1,0)</f>
        <v>0</v>
      </c>
      <c r="K260" s="77" t="n">
        <f aca="false">IF(AND(F260=1,I260="G"),1,0)</f>
        <v>0</v>
      </c>
      <c r="L260" s="77" t="n">
        <f aca="false">IF(AND(F260=1,A260&gt;=Impostazioni!$B$8),1,0)</f>
        <v>1</v>
      </c>
      <c r="M260" s="77" t="n">
        <f aca="false">IF(C260=0,3,IF(OR(D260=1,E260=1),2,IF(WEEKDAY(A260,2)&gt;5,1,0)))</f>
        <v>0</v>
      </c>
      <c r="N260" s="77" t="str">
        <f aca="false">IF(OR(I260="A",I260="G"),MAX(N$1:N259)+1,"")</f>
        <v/>
      </c>
    </row>
    <row r="261" customFormat="false" ht="15" hidden="false" customHeight="false" outlineLevel="0" collapsed="false">
      <c r="A261" s="75" t="n">
        <f aca="false">A260+1</f>
        <v>46555</v>
      </c>
      <c r="B261" s="76" t="n">
        <f aca="false">DATE(YEAR(A261),MONTH(A261),1)</f>
        <v>46539</v>
      </c>
      <c r="C261" s="77" t="n">
        <f aca="false">IF(AND(A261&gt;=Impostazioni!$B$4,A261&lt;=Impostazioni!$B$5),1,0)</f>
        <v>1</v>
      </c>
      <c r="D261" s="77" t="n">
        <f aca="false">IF(COUNTIF(Impostazioni!$A$27:$A$56,A261)&gt;0,1,0)</f>
        <v>0</v>
      </c>
      <c r="E261" s="77" t="n">
        <f aca="false">IF(COUNTIFS(Impostazioni!$A$16:$A$23,"&lt;="&amp;A261,Impostazioni!$B$16:$B$23,"&gt;="&amp;A261)&gt;0,1,0)</f>
        <v>0</v>
      </c>
      <c r="F261" s="77" t="n">
        <f aca="false">IF(AND(C261=1,D261=0,E261=0),1,0)</f>
        <v>1</v>
      </c>
      <c r="G261" s="77" t="n">
        <f aca="false">(YEAR(A261)-YEAR(Impostazioni!$B$11))*12+MONTH(A261)-MONTH(Impostazioni!$B$11)</f>
        <v>8</v>
      </c>
      <c r="H261" s="77" t="n">
        <f aca="false">INT((DAY(A261)-1+WEEKDAY(DATE(YEAR(A261),MONTH(A261),1),2)-1)/7)</f>
        <v>2</v>
      </c>
      <c r="I261" s="77" t="str">
        <f aca="false">IF(G261&gt;11,"",INDEX(Calendario!$A$14:$G$193,4+15*G261+2*H261,WEEKDAY(A261,2))&amp;"")</f>
        <v/>
      </c>
      <c r="J261" s="77" t="n">
        <f aca="false">IF(AND(F261=1,I261="A"),1,0)</f>
        <v>0</v>
      </c>
      <c r="K261" s="77" t="n">
        <f aca="false">IF(AND(F261=1,I261="G"),1,0)</f>
        <v>0</v>
      </c>
      <c r="L261" s="77" t="n">
        <f aca="false">IF(AND(F261=1,A261&gt;=Impostazioni!$B$8),1,0)</f>
        <v>1</v>
      </c>
      <c r="M261" s="77" t="n">
        <f aca="false">IF(C261=0,3,IF(OR(D261=1,E261=1),2,IF(WEEKDAY(A261,2)&gt;5,1,0)))</f>
        <v>0</v>
      </c>
      <c r="N261" s="77" t="str">
        <f aca="false">IF(OR(I261="A",I261="G"),MAX(N$1:N260)+1,"")</f>
        <v/>
      </c>
    </row>
    <row r="262" customFormat="false" ht="15" hidden="false" customHeight="false" outlineLevel="0" collapsed="false">
      <c r="A262" s="75" t="n">
        <f aca="false">A261+1</f>
        <v>46556</v>
      </c>
      <c r="B262" s="76" t="n">
        <f aca="false">DATE(YEAR(A262),MONTH(A262),1)</f>
        <v>46539</v>
      </c>
      <c r="C262" s="77" t="n">
        <f aca="false">IF(AND(A262&gt;=Impostazioni!$B$4,A262&lt;=Impostazioni!$B$5),1,0)</f>
        <v>1</v>
      </c>
      <c r="D262" s="77" t="n">
        <f aca="false">IF(COUNTIF(Impostazioni!$A$27:$A$56,A262)&gt;0,1,0)</f>
        <v>0</v>
      </c>
      <c r="E262" s="77" t="n">
        <f aca="false">IF(COUNTIFS(Impostazioni!$A$16:$A$23,"&lt;="&amp;A262,Impostazioni!$B$16:$B$23,"&gt;="&amp;A262)&gt;0,1,0)</f>
        <v>0</v>
      </c>
      <c r="F262" s="77" t="n">
        <f aca="false">IF(AND(C262=1,D262=0,E262=0),1,0)</f>
        <v>1</v>
      </c>
      <c r="G262" s="77" t="n">
        <f aca="false">(YEAR(A262)-YEAR(Impostazioni!$B$11))*12+MONTH(A262)-MONTH(Impostazioni!$B$11)</f>
        <v>8</v>
      </c>
      <c r="H262" s="77" t="n">
        <f aca="false">INT((DAY(A262)-1+WEEKDAY(DATE(YEAR(A262),MONTH(A262),1),2)-1)/7)</f>
        <v>2</v>
      </c>
      <c r="I262" s="77" t="str">
        <f aca="false">IF(G262&gt;11,"",INDEX(Calendario!$A$14:$G$193,4+15*G262+2*H262,WEEKDAY(A262,2))&amp;"")</f>
        <v/>
      </c>
      <c r="J262" s="77" t="n">
        <f aca="false">IF(AND(F262=1,I262="A"),1,0)</f>
        <v>0</v>
      </c>
      <c r="K262" s="77" t="n">
        <f aca="false">IF(AND(F262=1,I262="G"),1,0)</f>
        <v>0</v>
      </c>
      <c r="L262" s="77" t="n">
        <f aca="false">IF(AND(F262=1,A262&gt;=Impostazioni!$B$8),1,0)</f>
        <v>1</v>
      </c>
      <c r="M262" s="77" t="n">
        <f aca="false">IF(C262=0,3,IF(OR(D262=1,E262=1),2,IF(WEEKDAY(A262,2)&gt;5,1,0)))</f>
        <v>0</v>
      </c>
      <c r="N262" s="77" t="str">
        <f aca="false">IF(OR(I262="A",I262="G"),MAX(N$1:N261)+1,"")</f>
        <v/>
      </c>
    </row>
    <row r="263" customFormat="false" ht="15" hidden="false" customHeight="false" outlineLevel="0" collapsed="false">
      <c r="A263" s="75" t="n">
        <f aca="false">A262+1</f>
        <v>46557</v>
      </c>
      <c r="B263" s="76" t="n">
        <f aca="false">DATE(YEAR(A263),MONTH(A263),1)</f>
        <v>46539</v>
      </c>
      <c r="C263" s="77" t="n">
        <f aca="false">IF(AND(A263&gt;=Impostazioni!$B$4,A263&lt;=Impostazioni!$B$5),1,0)</f>
        <v>1</v>
      </c>
      <c r="D263" s="77" t="n">
        <f aca="false">IF(COUNTIF(Impostazioni!$A$27:$A$56,A263)&gt;0,1,0)</f>
        <v>0</v>
      </c>
      <c r="E263" s="77" t="n">
        <f aca="false">IF(COUNTIFS(Impostazioni!$A$16:$A$23,"&lt;="&amp;A263,Impostazioni!$B$16:$B$23,"&gt;="&amp;A263)&gt;0,1,0)</f>
        <v>0</v>
      </c>
      <c r="F263" s="77" t="n">
        <f aca="false">IF(AND(C263=1,D263=0,E263=0),1,0)</f>
        <v>1</v>
      </c>
      <c r="G263" s="77" t="n">
        <f aca="false">(YEAR(A263)-YEAR(Impostazioni!$B$11))*12+MONTH(A263)-MONTH(Impostazioni!$B$11)</f>
        <v>8</v>
      </c>
      <c r="H263" s="77" t="n">
        <f aca="false">INT((DAY(A263)-1+WEEKDAY(DATE(YEAR(A263),MONTH(A263),1),2)-1)/7)</f>
        <v>2</v>
      </c>
      <c r="I263" s="77" t="str">
        <f aca="false">IF(G263&gt;11,"",INDEX(Calendario!$A$14:$G$193,4+15*G263+2*H263,WEEKDAY(A263,2))&amp;"")</f>
        <v/>
      </c>
      <c r="J263" s="77" t="n">
        <f aca="false">IF(AND(F263=1,I263="A"),1,0)</f>
        <v>0</v>
      </c>
      <c r="K263" s="77" t="n">
        <f aca="false">IF(AND(F263=1,I263="G"),1,0)</f>
        <v>0</v>
      </c>
      <c r="L263" s="77" t="n">
        <f aca="false">IF(AND(F263=1,A263&gt;=Impostazioni!$B$8),1,0)</f>
        <v>1</v>
      </c>
      <c r="M263" s="77" t="n">
        <f aca="false">IF(C263=0,3,IF(OR(D263=1,E263=1),2,IF(WEEKDAY(A263,2)&gt;5,1,0)))</f>
        <v>1</v>
      </c>
      <c r="N263" s="77" t="str">
        <f aca="false">IF(OR(I263="A",I263="G"),MAX(N$1:N262)+1,"")</f>
        <v/>
      </c>
    </row>
    <row r="264" customFormat="false" ht="15" hidden="false" customHeight="false" outlineLevel="0" collapsed="false">
      <c r="A264" s="75" t="n">
        <f aca="false">A263+1</f>
        <v>46558</v>
      </c>
      <c r="B264" s="76" t="n">
        <f aca="false">DATE(YEAR(A264),MONTH(A264),1)</f>
        <v>46539</v>
      </c>
      <c r="C264" s="77" t="n">
        <f aca="false">IF(AND(A264&gt;=Impostazioni!$B$4,A264&lt;=Impostazioni!$B$5),1,0)</f>
        <v>1</v>
      </c>
      <c r="D264" s="77" t="n">
        <f aca="false">IF(COUNTIF(Impostazioni!$A$27:$A$56,A264)&gt;0,1,0)</f>
        <v>0</v>
      </c>
      <c r="E264" s="77" t="n">
        <f aca="false">IF(COUNTIFS(Impostazioni!$A$16:$A$23,"&lt;="&amp;A264,Impostazioni!$B$16:$B$23,"&gt;="&amp;A264)&gt;0,1,0)</f>
        <v>0</v>
      </c>
      <c r="F264" s="77" t="n">
        <f aca="false">IF(AND(C264=1,D264=0,E264=0),1,0)</f>
        <v>1</v>
      </c>
      <c r="G264" s="77" t="n">
        <f aca="false">(YEAR(A264)-YEAR(Impostazioni!$B$11))*12+MONTH(A264)-MONTH(Impostazioni!$B$11)</f>
        <v>8</v>
      </c>
      <c r="H264" s="77" t="n">
        <f aca="false">INT((DAY(A264)-1+WEEKDAY(DATE(YEAR(A264),MONTH(A264),1),2)-1)/7)</f>
        <v>2</v>
      </c>
      <c r="I264" s="77" t="str">
        <f aca="false">IF(G264&gt;11,"",INDEX(Calendario!$A$14:$G$193,4+15*G264+2*H264,WEEKDAY(A264,2))&amp;"")</f>
        <v/>
      </c>
      <c r="J264" s="77" t="n">
        <f aca="false">IF(AND(F264=1,I264="A"),1,0)</f>
        <v>0</v>
      </c>
      <c r="K264" s="77" t="n">
        <f aca="false">IF(AND(F264=1,I264="G"),1,0)</f>
        <v>0</v>
      </c>
      <c r="L264" s="77" t="n">
        <f aca="false">IF(AND(F264=1,A264&gt;=Impostazioni!$B$8),1,0)</f>
        <v>1</v>
      </c>
      <c r="M264" s="77" t="n">
        <f aca="false">IF(C264=0,3,IF(OR(D264=1,E264=1),2,IF(WEEKDAY(A264,2)&gt;5,1,0)))</f>
        <v>1</v>
      </c>
      <c r="N264" s="77" t="str">
        <f aca="false">IF(OR(I264="A",I264="G"),MAX(N$1:N263)+1,"")</f>
        <v/>
      </c>
    </row>
    <row r="265" customFormat="false" ht="15" hidden="false" customHeight="false" outlineLevel="0" collapsed="false">
      <c r="A265" s="75" t="n">
        <f aca="false">A264+1</f>
        <v>46559</v>
      </c>
      <c r="B265" s="76" t="n">
        <f aca="false">DATE(YEAR(A265),MONTH(A265),1)</f>
        <v>46539</v>
      </c>
      <c r="C265" s="77" t="n">
        <f aca="false">IF(AND(A265&gt;=Impostazioni!$B$4,A265&lt;=Impostazioni!$B$5),1,0)</f>
        <v>1</v>
      </c>
      <c r="D265" s="77" t="n">
        <f aca="false">IF(COUNTIF(Impostazioni!$A$27:$A$56,A265)&gt;0,1,0)</f>
        <v>0</v>
      </c>
      <c r="E265" s="77" t="n">
        <f aca="false">IF(COUNTIFS(Impostazioni!$A$16:$A$23,"&lt;="&amp;A265,Impostazioni!$B$16:$B$23,"&gt;="&amp;A265)&gt;0,1,0)</f>
        <v>0</v>
      </c>
      <c r="F265" s="77" t="n">
        <f aca="false">IF(AND(C265=1,D265=0,E265=0),1,0)</f>
        <v>1</v>
      </c>
      <c r="G265" s="77" t="n">
        <f aca="false">(YEAR(A265)-YEAR(Impostazioni!$B$11))*12+MONTH(A265)-MONTH(Impostazioni!$B$11)</f>
        <v>8</v>
      </c>
      <c r="H265" s="77" t="n">
        <f aca="false">INT((DAY(A265)-1+WEEKDAY(DATE(YEAR(A265),MONTH(A265),1),2)-1)/7)</f>
        <v>3</v>
      </c>
      <c r="I265" s="77" t="str">
        <f aca="false">IF(G265&gt;11,"",INDEX(Calendario!$A$14:$G$193,4+15*G265+2*H265,WEEKDAY(A265,2))&amp;"")</f>
        <v/>
      </c>
      <c r="J265" s="77" t="n">
        <f aca="false">IF(AND(F265=1,I265="A"),1,0)</f>
        <v>0</v>
      </c>
      <c r="K265" s="77" t="n">
        <f aca="false">IF(AND(F265=1,I265="G"),1,0)</f>
        <v>0</v>
      </c>
      <c r="L265" s="77" t="n">
        <f aca="false">IF(AND(F265=1,A265&gt;=Impostazioni!$B$8),1,0)</f>
        <v>1</v>
      </c>
      <c r="M265" s="77" t="n">
        <f aca="false">IF(C265=0,3,IF(OR(D265=1,E265=1),2,IF(WEEKDAY(A265,2)&gt;5,1,0)))</f>
        <v>0</v>
      </c>
      <c r="N265" s="77" t="str">
        <f aca="false">IF(OR(I265="A",I265="G"),MAX(N$1:N264)+1,"")</f>
        <v/>
      </c>
    </row>
    <row r="266" customFormat="false" ht="15" hidden="false" customHeight="false" outlineLevel="0" collapsed="false">
      <c r="A266" s="75" t="n">
        <f aca="false">A265+1</f>
        <v>46560</v>
      </c>
      <c r="B266" s="76" t="n">
        <f aca="false">DATE(YEAR(A266),MONTH(A266),1)</f>
        <v>46539</v>
      </c>
      <c r="C266" s="77" t="n">
        <f aca="false">IF(AND(A266&gt;=Impostazioni!$B$4,A266&lt;=Impostazioni!$B$5),1,0)</f>
        <v>1</v>
      </c>
      <c r="D266" s="77" t="n">
        <f aca="false">IF(COUNTIF(Impostazioni!$A$27:$A$56,A266)&gt;0,1,0)</f>
        <v>0</v>
      </c>
      <c r="E266" s="77" t="n">
        <f aca="false">IF(COUNTIFS(Impostazioni!$A$16:$A$23,"&lt;="&amp;A266,Impostazioni!$B$16:$B$23,"&gt;="&amp;A266)&gt;0,1,0)</f>
        <v>0</v>
      </c>
      <c r="F266" s="77" t="n">
        <f aca="false">IF(AND(C266=1,D266=0,E266=0),1,0)</f>
        <v>1</v>
      </c>
      <c r="G266" s="77" t="n">
        <f aca="false">(YEAR(A266)-YEAR(Impostazioni!$B$11))*12+MONTH(A266)-MONTH(Impostazioni!$B$11)</f>
        <v>8</v>
      </c>
      <c r="H266" s="77" t="n">
        <f aca="false">INT((DAY(A266)-1+WEEKDAY(DATE(YEAR(A266),MONTH(A266),1),2)-1)/7)</f>
        <v>3</v>
      </c>
      <c r="I266" s="77" t="str">
        <f aca="false">IF(G266&gt;11,"",INDEX(Calendario!$A$14:$G$193,4+15*G266+2*H266,WEEKDAY(A266,2))&amp;"")</f>
        <v/>
      </c>
      <c r="J266" s="77" t="n">
        <f aca="false">IF(AND(F266=1,I266="A"),1,0)</f>
        <v>0</v>
      </c>
      <c r="K266" s="77" t="n">
        <f aca="false">IF(AND(F266=1,I266="G"),1,0)</f>
        <v>0</v>
      </c>
      <c r="L266" s="77" t="n">
        <f aca="false">IF(AND(F266=1,A266&gt;=Impostazioni!$B$8),1,0)</f>
        <v>1</v>
      </c>
      <c r="M266" s="77" t="n">
        <f aca="false">IF(C266=0,3,IF(OR(D266=1,E266=1),2,IF(WEEKDAY(A266,2)&gt;5,1,0)))</f>
        <v>0</v>
      </c>
      <c r="N266" s="77" t="str">
        <f aca="false">IF(OR(I266="A",I266="G"),MAX(N$1:N265)+1,"")</f>
        <v/>
      </c>
    </row>
    <row r="267" customFormat="false" ht="15" hidden="false" customHeight="false" outlineLevel="0" collapsed="false">
      <c r="A267" s="75" t="n">
        <f aca="false">A266+1</f>
        <v>46561</v>
      </c>
      <c r="B267" s="76" t="n">
        <f aca="false">DATE(YEAR(A267),MONTH(A267),1)</f>
        <v>46539</v>
      </c>
      <c r="C267" s="77" t="n">
        <f aca="false">IF(AND(A267&gt;=Impostazioni!$B$4,A267&lt;=Impostazioni!$B$5),1,0)</f>
        <v>1</v>
      </c>
      <c r="D267" s="77" t="n">
        <f aca="false">IF(COUNTIF(Impostazioni!$A$27:$A$56,A267)&gt;0,1,0)</f>
        <v>0</v>
      </c>
      <c r="E267" s="77" t="n">
        <f aca="false">IF(COUNTIFS(Impostazioni!$A$16:$A$23,"&lt;="&amp;A267,Impostazioni!$B$16:$B$23,"&gt;="&amp;A267)&gt;0,1,0)</f>
        <v>0</v>
      </c>
      <c r="F267" s="77" t="n">
        <f aca="false">IF(AND(C267=1,D267=0,E267=0),1,0)</f>
        <v>1</v>
      </c>
      <c r="G267" s="77" t="n">
        <f aca="false">(YEAR(A267)-YEAR(Impostazioni!$B$11))*12+MONTH(A267)-MONTH(Impostazioni!$B$11)</f>
        <v>8</v>
      </c>
      <c r="H267" s="77" t="n">
        <f aca="false">INT((DAY(A267)-1+WEEKDAY(DATE(YEAR(A267),MONTH(A267),1),2)-1)/7)</f>
        <v>3</v>
      </c>
      <c r="I267" s="77" t="str">
        <f aca="false">IF(G267&gt;11,"",INDEX(Calendario!$A$14:$G$193,4+15*G267+2*H267,WEEKDAY(A267,2))&amp;"")</f>
        <v/>
      </c>
      <c r="J267" s="77" t="n">
        <f aca="false">IF(AND(F267=1,I267="A"),1,0)</f>
        <v>0</v>
      </c>
      <c r="K267" s="77" t="n">
        <f aca="false">IF(AND(F267=1,I267="G"),1,0)</f>
        <v>0</v>
      </c>
      <c r="L267" s="77" t="n">
        <f aca="false">IF(AND(F267=1,A267&gt;=Impostazioni!$B$8),1,0)</f>
        <v>1</v>
      </c>
      <c r="M267" s="77" t="n">
        <f aca="false">IF(C267=0,3,IF(OR(D267=1,E267=1),2,IF(WEEKDAY(A267,2)&gt;5,1,0)))</f>
        <v>0</v>
      </c>
      <c r="N267" s="77" t="str">
        <f aca="false">IF(OR(I267="A",I267="G"),MAX(N$1:N266)+1,"")</f>
        <v/>
      </c>
    </row>
    <row r="268" customFormat="false" ht="15" hidden="false" customHeight="false" outlineLevel="0" collapsed="false">
      <c r="A268" s="75" t="n">
        <f aca="false">A267+1</f>
        <v>46562</v>
      </c>
      <c r="B268" s="76" t="n">
        <f aca="false">DATE(YEAR(A268),MONTH(A268),1)</f>
        <v>46539</v>
      </c>
      <c r="C268" s="77" t="n">
        <f aca="false">IF(AND(A268&gt;=Impostazioni!$B$4,A268&lt;=Impostazioni!$B$5),1,0)</f>
        <v>1</v>
      </c>
      <c r="D268" s="77" t="n">
        <f aca="false">IF(COUNTIF(Impostazioni!$A$27:$A$56,A268)&gt;0,1,0)</f>
        <v>0</v>
      </c>
      <c r="E268" s="77" t="n">
        <f aca="false">IF(COUNTIFS(Impostazioni!$A$16:$A$23,"&lt;="&amp;A268,Impostazioni!$B$16:$B$23,"&gt;="&amp;A268)&gt;0,1,0)</f>
        <v>0</v>
      </c>
      <c r="F268" s="77" t="n">
        <f aca="false">IF(AND(C268=1,D268=0,E268=0),1,0)</f>
        <v>1</v>
      </c>
      <c r="G268" s="77" t="n">
        <f aca="false">(YEAR(A268)-YEAR(Impostazioni!$B$11))*12+MONTH(A268)-MONTH(Impostazioni!$B$11)</f>
        <v>8</v>
      </c>
      <c r="H268" s="77" t="n">
        <f aca="false">INT((DAY(A268)-1+WEEKDAY(DATE(YEAR(A268),MONTH(A268),1),2)-1)/7)</f>
        <v>3</v>
      </c>
      <c r="I268" s="77" t="str">
        <f aca="false">IF(G268&gt;11,"",INDEX(Calendario!$A$14:$G$193,4+15*G268+2*H268,WEEKDAY(A268,2))&amp;"")</f>
        <v/>
      </c>
      <c r="J268" s="77" t="n">
        <f aca="false">IF(AND(F268=1,I268="A"),1,0)</f>
        <v>0</v>
      </c>
      <c r="K268" s="77" t="n">
        <f aca="false">IF(AND(F268=1,I268="G"),1,0)</f>
        <v>0</v>
      </c>
      <c r="L268" s="77" t="n">
        <f aca="false">IF(AND(F268=1,A268&gt;=Impostazioni!$B$8),1,0)</f>
        <v>1</v>
      </c>
      <c r="M268" s="77" t="n">
        <f aca="false">IF(C268=0,3,IF(OR(D268=1,E268=1),2,IF(WEEKDAY(A268,2)&gt;5,1,0)))</f>
        <v>0</v>
      </c>
      <c r="N268" s="77" t="str">
        <f aca="false">IF(OR(I268="A",I268="G"),MAX(N$1:N267)+1,"")</f>
        <v/>
      </c>
    </row>
    <row r="269" customFormat="false" ht="15" hidden="false" customHeight="false" outlineLevel="0" collapsed="false">
      <c r="A269" s="75" t="n">
        <f aca="false">A268+1</f>
        <v>46563</v>
      </c>
      <c r="B269" s="76" t="n">
        <f aca="false">DATE(YEAR(A269),MONTH(A269),1)</f>
        <v>46539</v>
      </c>
      <c r="C269" s="77" t="n">
        <f aca="false">IF(AND(A269&gt;=Impostazioni!$B$4,A269&lt;=Impostazioni!$B$5),1,0)</f>
        <v>1</v>
      </c>
      <c r="D269" s="77" t="n">
        <f aca="false">IF(COUNTIF(Impostazioni!$A$27:$A$56,A269)&gt;0,1,0)</f>
        <v>0</v>
      </c>
      <c r="E269" s="77" t="n">
        <f aca="false">IF(COUNTIFS(Impostazioni!$A$16:$A$23,"&lt;="&amp;A269,Impostazioni!$B$16:$B$23,"&gt;="&amp;A269)&gt;0,1,0)</f>
        <v>0</v>
      </c>
      <c r="F269" s="77" t="n">
        <f aca="false">IF(AND(C269=1,D269=0,E269=0),1,0)</f>
        <v>1</v>
      </c>
      <c r="G269" s="77" t="n">
        <f aca="false">(YEAR(A269)-YEAR(Impostazioni!$B$11))*12+MONTH(A269)-MONTH(Impostazioni!$B$11)</f>
        <v>8</v>
      </c>
      <c r="H269" s="77" t="n">
        <f aca="false">INT((DAY(A269)-1+WEEKDAY(DATE(YEAR(A269),MONTH(A269),1),2)-1)/7)</f>
        <v>3</v>
      </c>
      <c r="I269" s="77" t="str">
        <f aca="false">IF(G269&gt;11,"",INDEX(Calendario!$A$14:$G$193,4+15*G269+2*H269,WEEKDAY(A269,2))&amp;"")</f>
        <v/>
      </c>
      <c r="J269" s="77" t="n">
        <f aca="false">IF(AND(F269=1,I269="A"),1,0)</f>
        <v>0</v>
      </c>
      <c r="K269" s="77" t="n">
        <f aca="false">IF(AND(F269=1,I269="G"),1,0)</f>
        <v>0</v>
      </c>
      <c r="L269" s="77" t="n">
        <f aca="false">IF(AND(F269=1,A269&gt;=Impostazioni!$B$8),1,0)</f>
        <v>1</v>
      </c>
      <c r="M269" s="77" t="n">
        <f aca="false">IF(C269=0,3,IF(OR(D269=1,E269=1),2,IF(WEEKDAY(A269,2)&gt;5,1,0)))</f>
        <v>0</v>
      </c>
      <c r="N269" s="77" t="str">
        <f aca="false">IF(OR(I269="A",I269="G"),MAX(N$1:N268)+1,"")</f>
        <v/>
      </c>
    </row>
    <row r="270" customFormat="false" ht="15" hidden="false" customHeight="false" outlineLevel="0" collapsed="false">
      <c r="A270" s="75" t="n">
        <f aca="false">A269+1</f>
        <v>46564</v>
      </c>
      <c r="B270" s="76" t="n">
        <f aca="false">DATE(YEAR(A270),MONTH(A270),1)</f>
        <v>46539</v>
      </c>
      <c r="C270" s="77" t="n">
        <f aca="false">IF(AND(A270&gt;=Impostazioni!$B$4,A270&lt;=Impostazioni!$B$5),1,0)</f>
        <v>1</v>
      </c>
      <c r="D270" s="77" t="n">
        <f aca="false">IF(COUNTIF(Impostazioni!$A$27:$A$56,A270)&gt;0,1,0)</f>
        <v>0</v>
      </c>
      <c r="E270" s="77" t="n">
        <f aca="false">IF(COUNTIFS(Impostazioni!$A$16:$A$23,"&lt;="&amp;A270,Impostazioni!$B$16:$B$23,"&gt;="&amp;A270)&gt;0,1,0)</f>
        <v>0</v>
      </c>
      <c r="F270" s="77" t="n">
        <f aca="false">IF(AND(C270=1,D270=0,E270=0),1,0)</f>
        <v>1</v>
      </c>
      <c r="G270" s="77" t="n">
        <f aca="false">(YEAR(A270)-YEAR(Impostazioni!$B$11))*12+MONTH(A270)-MONTH(Impostazioni!$B$11)</f>
        <v>8</v>
      </c>
      <c r="H270" s="77" t="n">
        <f aca="false">INT((DAY(A270)-1+WEEKDAY(DATE(YEAR(A270),MONTH(A270),1),2)-1)/7)</f>
        <v>3</v>
      </c>
      <c r="I270" s="77" t="str">
        <f aca="false">IF(G270&gt;11,"",INDEX(Calendario!$A$14:$G$193,4+15*G270+2*H270,WEEKDAY(A270,2))&amp;"")</f>
        <v/>
      </c>
      <c r="J270" s="77" t="n">
        <f aca="false">IF(AND(F270=1,I270="A"),1,0)</f>
        <v>0</v>
      </c>
      <c r="K270" s="77" t="n">
        <f aca="false">IF(AND(F270=1,I270="G"),1,0)</f>
        <v>0</v>
      </c>
      <c r="L270" s="77" t="n">
        <f aca="false">IF(AND(F270=1,A270&gt;=Impostazioni!$B$8),1,0)</f>
        <v>1</v>
      </c>
      <c r="M270" s="77" t="n">
        <f aca="false">IF(C270=0,3,IF(OR(D270=1,E270=1),2,IF(WEEKDAY(A270,2)&gt;5,1,0)))</f>
        <v>1</v>
      </c>
      <c r="N270" s="77" t="str">
        <f aca="false">IF(OR(I270="A",I270="G"),MAX(N$1:N269)+1,"")</f>
        <v/>
      </c>
    </row>
    <row r="271" customFormat="false" ht="15" hidden="false" customHeight="false" outlineLevel="0" collapsed="false">
      <c r="A271" s="75" t="n">
        <f aca="false">A270+1</f>
        <v>46565</v>
      </c>
      <c r="B271" s="76" t="n">
        <f aca="false">DATE(YEAR(A271),MONTH(A271),1)</f>
        <v>46539</v>
      </c>
      <c r="C271" s="77" t="n">
        <f aca="false">IF(AND(A271&gt;=Impostazioni!$B$4,A271&lt;=Impostazioni!$B$5),1,0)</f>
        <v>1</v>
      </c>
      <c r="D271" s="77" t="n">
        <f aca="false">IF(COUNTIF(Impostazioni!$A$27:$A$56,A271)&gt;0,1,0)</f>
        <v>0</v>
      </c>
      <c r="E271" s="77" t="n">
        <f aca="false">IF(COUNTIFS(Impostazioni!$A$16:$A$23,"&lt;="&amp;A271,Impostazioni!$B$16:$B$23,"&gt;="&amp;A271)&gt;0,1,0)</f>
        <v>0</v>
      </c>
      <c r="F271" s="77" t="n">
        <f aca="false">IF(AND(C271=1,D271=0,E271=0),1,0)</f>
        <v>1</v>
      </c>
      <c r="G271" s="77" t="n">
        <f aca="false">(YEAR(A271)-YEAR(Impostazioni!$B$11))*12+MONTH(A271)-MONTH(Impostazioni!$B$11)</f>
        <v>8</v>
      </c>
      <c r="H271" s="77" t="n">
        <f aca="false">INT((DAY(A271)-1+WEEKDAY(DATE(YEAR(A271),MONTH(A271),1),2)-1)/7)</f>
        <v>3</v>
      </c>
      <c r="I271" s="77" t="str">
        <f aca="false">IF(G271&gt;11,"",INDEX(Calendario!$A$14:$G$193,4+15*G271+2*H271,WEEKDAY(A271,2))&amp;"")</f>
        <v/>
      </c>
      <c r="J271" s="77" t="n">
        <f aca="false">IF(AND(F271=1,I271="A"),1,0)</f>
        <v>0</v>
      </c>
      <c r="K271" s="77" t="n">
        <f aca="false">IF(AND(F271=1,I271="G"),1,0)</f>
        <v>0</v>
      </c>
      <c r="L271" s="77" t="n">
        <f aca="false">IF(AND(F271=1,A271&gt;=Impostazioni!$B$8),1,0)</f>
        <v>1</v>
      </c>
      <c r="M271" s="77" t="n">
        <f aca="false">IF(C271=0,3,IF(OR(D271=1,E271=1),2,IF(WEEKDAY(A271,2)&gt;5,1,0)))</f>
        <v>1</v>
      </c>
      <c r="N271" s="77" t="str">
        <f aca="false">IF(OR(I271="A",I271="G"),MAX(N$1:N270)+1,"")</f>
        <v/>
      </c>
    </row>
    <row r="272" customFormat="false" ht="15" hidden="false" customHeight="false" outlineLevel="0" collapsed="false">
      <c r="A272" s="75" t="n">
        <f aca="false">A271+1</f>
        <v>46566</v>
      </c>
      <c r="B272" s="76" t="n">
        <f aca="false">DATE(YEAR(A272),MONTH(A272),1)</f>
        <v>46539</v>
      </c>
      <c r="C272" s="77" t="n">
        <f aca="false">IF(AND(A272&gt;=Impostazioni!$B$4,A272&lt;=Impostazioni!$B$5),1,0)</f>
        <v>1</v>
      </c>
      <c r="D272" s="77" t="n">
        <f aca="false">IF(COUNTIF(Impostazioni!$A$27:$A$56,A272)&gt;0,1,0)</f>
        <v>0</v>
      </c>
      <c r="E272" s="77" t="n">
        <f aca="false">IF(COUNTIFS(Impostazioni!$A$16:$A$23,"&lt;="&amp;A272,Impostazioni!$B$16:$B$23,"&gt;="&amp;A272)&gt;0,1,0)</f>
        <v>0</v>
      </c>
      <c r="F272" s="77" t="n">
        <f aca="false">IF(AND(C272=1,D272=0,E272=0),1,0)</f>
        <v>1</v>
      </c>
      <c r="G272" s="77" t="n">
        <f aca="false">(YEAR(A272)-YEAR(Impostazioni!$B$11))*12+MONTH(A272)-MONTH(Impostazioni!$B$11)</f>
        <v>8</v>
      </c>
      <c r="H272" s="77" t="n">
        <f aca="false">INT((DAY(A272)-1+WEEKDAY(DATE(YEAR(A272),MONTH(A272),1),2)-1)/7)</f>
        <v>4</v>
      </c>
      <c r="I272" s="77" t="str">
        <f aca="false">IF(G272&gt;11,"",INDEX(Calendario!$A$14:$G$193,4+15*G272+2*H272,WEEKDAY(A272,2))&amp;"")</f>
        <v/>
      </c>
      <c r="J272" s="77" t="n">
        <f aca="false">IF(AND(F272=1,I272="A"),1,0)</f>
        <v>0</v>
      </c>
      <c r="K272" s="77" t="n">
        <f aca="false">IF(AND(F272=1,I272="G"),1,0)</f>
        <v>0</v>
      </c>
      <c r="L272" s="77" t="n">
        <f aca="false">IF(AND(F272=1,A272&gt;=Impostazioni!$B$8),1,0)</f>
        <v>1</v>
      </c>
      <c r="M272" s="77" t="n">
        <f aca="false">IF(C272=0,3,IF(OR(D272=1,E272=1),2,IF(WEEKDAY(A272,2)&gt;5,1,0)))</f>
        <v>0</v>
      </c>
      <c r="N272" s="77" t="str">
        <f aca="false">IF(OR(I272="A",I272="G"),MAX(N$1:N271)+1,"")</f>
        <v/>
      </c>
    </row>
    <row r="273" customFormat="false" ht="15" hidden="false" customHeight="false" outlineLevel="0" collapsed="false">
      <c r="A273" s="75" t="n">
        <f aca="false">A272+1</f>
        <v>46567</v>
      </c>
      <c r="B273" s="76" t="n">
        <f aca="false">DATE(YEAR(A273),MONTH(A273),1)</f>
        <v>46539</v>
      </c>
      <c r="C273" s="77" t="n">
        <f aca="false">IF(AND(A273&gt;=Impostazioni!$B$4,A273&lt;=Impostazioni!$B$5),1,0)</f>
        <v>1</v>
      </c>
      <c r="D273" s="77" t="n">
        <f aca="false">IF(COUNTIF(Impostazioni!$A$27:$A$56,A273)&gt;0,1,0)</f>
        <v>0</v>
      </c>
      <c r="E273" s="77" t="n">
        <f aca="false">IF(COUNTIFS(Impostazioni!$A$16:$A$23,"&lt;="&amp;A273,Impostazioni!$B$16:$B$23,"&gt;="&amp;A273)&gt;0,1,0)</f>
        <v>0</v>
      </c>
      <c r="F273" s="77" t="n">
        <f aca="false">IF(AND(C273=1,D273=0,E273=0),1,0)</f>
        <v>1</v>
      </c>
      <c r="G273" s="77" t="n">
        <f aca="false">(YEAR(A273)-YEAR(Impostazioni!$B$11))*12+MONTH(A273)-MONTH(Impostazioni!$B$11)</f>
        <v>8</v>
      </c>
      <c r="H273" s="77" t="n">
        <f aca="false">INT((DAY(A273)-1+WEEKDAY(DATE(YEAR(A273),MONTH(A273),1),2)-1)/7)</f>
        <v>4</v>
      </c>
      <c r="I273" s="77" t="str">
        <f aca="false">IF(G273&gt;11,"",INDEX(Calendario!$A$14:$G$193,4+15*G273+2*H273,WEEKDAY(A273,2))&amp;"")</f>
        <v/>
      </c>
      <c r="J273" s="77" t="n">
        <f aca="false">IF(AND(F273=1,I273="A"),1,0)</f>
        <v>0</v>
      </c>
      <c r="K273" s="77" t="n">
        <f aca="false">IF(AND(F273=1,I273="G"),1,0)</f>
        <v>0</v>
      </c>
      <c r="L273" s="77" t="n">
        <f aca="false">IF(AND(F273=1,A273&gt;=Impostazioni!$B$8),1,0)</f>
        <v>1</v>
      </c>
      <c r="M273" s="77" t="n">
        <f aca="false">IF(C273=0,3,IF(OR(D273=1,E273=1),2,IF(WEEKDAY(A273,2)&gt;5,1,0)))</f>
        <v>0</v>
      </c>
      <c r="N273" s="77" t="str">
        <f aca="false">IF(OR(I273="A",I273="G"),MAX(N$1:N272)+1,"")</f>
        <v/>
      </c>
    </row>
    <row r="274" customFormat="false" ht="15" hidden="false" customHeight="false" outlineLevel="0" collapsed="false">
      <c r="A274" s="75" t="n">
        <f aca="false">A273+1</f>
        <v>46568</v>
      </c>
      <c r="B274" s="76" t="n">
        <f aca="false">DATE(YEAR(A274),MONTH(A274),1)</f>
        <v>46539</v>
      </c>
      <c r="C274" s="77" t="n">
        <f aca="false">IF(AND(A274&gt;=Impostazioni!$B$4,A274&lt;=Impostazioni!$B$5),1,0)</f>
        <v>1</v>
      </c>
      <c r="D274" s="77" t="n">
        <f aca="false">IF(COUNTIF(Impostazioni!$A$27:$A$56,A274)&gt;0,1,0)</f>
        <v>0</v>
      </c>
      <c r="E274" s="77" t="n">
        <f aca="false">IF(COUNTIFS(Impostazioni!$A$16:$A$23,"&lt;="&amp;A274,Impostazioni!$B$16:$B$23,"&gt;="&amp;A274)&gt;0,1,0)</f>
        <v>0</v>
      </c>
      <c r="F274" s="77" t="n">
        <f aca="false">IF(AND(C274=1,D274=0,E274=0),1,0)</f>
        <v>1</v>
      </c>
      <c r="G274" s="77" t="n">
        <f aca="false">(YEAR(A274)-YEAR(Impostazioni!$B$11))*12+MONTH(A274)-MONTH(Impostazioni!$B$11)</f>
        <v>8</v>
      </c>
      <c r="H274" s="77" t="n">
        <f aca="false">INT((DAY(A274)-1+WEEKDAY(DATE(YEAR(A274),MONTH(A274),1),2)-1)/7)</f>
        <v>4</v>
      </c>
      <c r="I274" s="77" t="str">
        <f aca="false">IF(G274&gt;11,"",INDEX(Calendario!$A$14:$G$193,4+15*G274+2*H274,WEEKDAY(A274,2))&amp;"")</f>
        <v/>
      </c>
      <c r="J274" s="77" t="n">
        <f aca="false">IF(AND(F274=1,I274="A"),1,0)</f>
        <v>0</v>
      </c>
      <c r="K274" s="77" t="n">
        <f aca="false">IF(AND(F274=1,I274="G"),1,0)</f>
        <v>0</v>
      </c>
      <c r="L274" s="77" t="n">
        <f aca="false">IF(AND(F274=1,A274&gt;=Impostazioni!$B$8),1,0)</f>
        <v>1</v>
      </c>
      <c r="M274" s="77" t="n">
        <f aca="false">IF(C274=0,3,IF(OR(D274=1,E274=1),2,IF(WEEKDAY(A274,2)&gt;5,1,0)))</f>
        <v>0</v>
      </c>
      <c r="N274" s="77" t="str">
        <f aca="false">IF(OR(I274="A",I274="G"),MAX(N$1:N273)+1,"")</f>
        <v/>
      </c>
    </row>
    <row r="275" customFormat="false" ht="15" hidden="false" customHeight="false" outlineLevel="0" collapsed="false">
      <c r="A275" s="75" t="n">
        <f aca="false">A274+1</f>
        <v>46569</v>
      </c>
      <c r="B275" s="76" t="n">
        <f aca="false">DATE(YEAR(A275),MONTH(A275),1)</f>
        <v>46569</v>
      </c>
      <c r="C275" s="77" t="n">
        <f aca="false">IF(AND(A275&gt;=Impostazioni!$B$4,A275&lt;=Impostazioni!$B$5),1,0)</f>
        <v>1</v>
      </c>
      <c r="D275" s="77" t="n">
        <f aca="false">IF(COUNTIF(Impostazioni!$A$27:$A$56,A275)&gt;0,1,0)</f>
        <v>0</v>
      </c>
      <c r="E275" s="77" t="n">
        <f aca="false">IF(COUNTIFS(Impostazioni!$A$16:$A$23,"&lt;="&amp;A275,Impostazioni!$B$16:$B$23,"&gt;="&amp;A275)&gt;0,1,0)</f>
        <v>0</v>
      </c>
      <c r="F275" s="77" t="n">
        <f aca="false">IF(AND(C275=1,D275=0,E275=0),1,0)</f>
        <v>1</v>
      </c>
      <c r="G275" s="77" t="n">
        <f aca="false">(YEAR(A275)-YEAR(Impostazioni!$B$11))*12+MONTH(A275)-MONTH(Impostazioni!$B$11)</f>
        <v>9</v>
      </c>
      <c r="H275" s="77" t="n">
        <f aca="false">INT((DAY(A275)-1+WEEKDAY(DATE(YEAR(A275),MONTH(A275),1),2)-1)/7)</f>
        <v>0</v>
      </c>
      <c r="I275" s="77" t="str">
        <f aca="false">IF(G275&gt;11,"",INDEX(Calendario!$A$14:$G$193,4+15*G275+2*H275,WEEKDAY(A275,2))&amp;"")</f>
        <v/>
      </c>
      <c r="J275" s="77" t="n">
        <f aca="false">IF(AND(F275=1,I275="A"),1,0)</f>
        <v>0</v>
      </c>
      <c r="K275" s="77" t="n">
        <f aca="false">IF(AND(F275=1,I275="G"),1,0)</f>
        <v>0</v>
      </c>
      <c r="L275" s="77" t="n">
        <f aca="false">IF(AND(F275=1,A275&gt;=Impostazioni!$B$8),1,0)</f>
        <v>1</v>
      </c>
      <c r="M275" s="77" t="n">
        <f aca="false">IF(C275=0,3,IF(OR(D275=1,E275=1),2,IF(WEEKDAY(A275,2)&gt;5,1,0)))</f>
        <v>0</v>
      </c>
      <c r="N275" s="77" t="str">
        <f aca="false">IF(OR(I275="A",I275="G"),MAX(N$1:N274)+1,"")</f>
        <v/>
      </c>
    </row>
    <row r="276" customFormat="false" ht="15" hidden="false" customHeight="false" outlineLevel="0" collapsed="false">
      <c r="A276" s="75" t="n">
        <f aca="false">A275+1</f>
        <v>46570</v>
      </c>
      <c r="B276" s="76" t="n">
        <f aca="false">DATE(YEAR(A276),MONTH(A276),1)</f>
        <v>46569</v>
      </c>
      <c r="C276" s="77" t="n">
        <f aca="false">IF(AND(A276&gt;=Impostazioni!$B$4,A276&lt;=Impostazioni!$B$5),1,0)</f>
        <v>1</v>
      </c>
      <c r="D276" s="77" t="n">
        <f aca="false">IF(COUNTIF(Impostazioni!$A$27:$A$56,A276)&gt;0,1,0)</f>
        <v>0</v>
      </c>
      <c r="E276" s="77" t="n">
        <f aca="false">IF(COUNTIFS(Impostazioni!$A$16:$A$23,"&lt;="&amp;A276,Impostazioni!$B$16:$B$23,"&gt;="&amp;A276)&gt;0,1,0)</f>
        <v>0</v>
      </c>
      <c r="F276" s="77" t="n">
        <f aca="false">IF(AND(C276=1,D276=0,E276=0),1,0)</f>
        <v>1</v>
      </c>
      <c r="G276" s="77" t="n">
        <f aca="false">(YEAR(A276)-YEAR(Impostazioni!$B$11))*12+MONTH(A276)-MONTH(Impostazioni!$B$11)</f>
        <v>9</v>
      </c>
      <c r="H276" s="77" t="n">
        <f aca="false">INT((DAY(A276)-1+WEEKDAY(DATE(YEAR(A276),MONTH(A276),1),2)-1)/7)</f>
        <v>0</v>
      </c>
      <c r="I276" s="77" t="str">
        <f aca="false">IF(G276&gt;11,"",INDEX(Calendario!$A$14:$G$193,4+15*G276+2*H276,WEEKDAY(A276,2))&amp;"")</f>
        <v/>
      </c>
      <c r="J276" s="77" t="n">
        <f aca="false">IF(AND(F276=1,I276="A"),1,0)</f>
        <v>0</v>
      </c>
      <c r="K276" s="77" t="n">
        <f aca="false">IF(AND(F276=1,I276="G"),1,0)</f>
        <v>0</v>
      </c>
      <c r="L276" s="77" t="n">
        <f aca="false">IF(AND(F276=1,A276&gt;=Impostazioni!$B$8),1,0)</f>
        <v>1</v>
      </c>
      <c r="M276" s="77" t="n">
        <f aca="false">IF(C276=0,3,IF(OR(D276=1,E276=1),2,IF(WEEKDAY(A276,2)&gt;5,1,0)))</f>
        <v>0</v>
      </c>
      <c r="N276" s="77" t="str">
        <f aca="false">IF(OR(I276="A",I276="G"),MAX(N$1:N275)+1,"")</f>
        <v/>
      </c>
    </row>
    <row r="277" customFormat="false" ht="15" hidden="false" customHeight="false" outlineLevel="0" collapsed="false">
      <c r="A277" s="75" t="n">
        <f aca="false">A276+1</f>
        <v>46571</v>
      </c>
      <c r="B277" s="76" t="n">
        <f aca="false">DATE(YEAR(A277),MONTH(A277),1)</f>
        <v>46569</v>
      </c>
      <c r="C277" s="77" t="n">
        <f aca="false">IF(AND(A277&gt;=Impostazioni!$B$4,A277&lt;=Impostazioni!$B$5),1,0)</f>
        <v>1</v>
      </c>
      <c r="D277" s="77" t="n">
        <f aca="false">IF(COUNTIF(Impostazioni!$A$27:$A$56,A277)&gt;0,1,0)</f>
        <v>0</v>
      </c>
      <c r="E277" s="77" t="n">
        <f aca="false">IF(COUNTIFS(Impostazioni!$A$16:$A$23,"&lt;="&amp;A277,Impostazioni!$B$16:$B$23,"&gt;="&amp;A277)&gt;0,1,0)</f>
        <v>0</v>
      </c>
      <c r="F277" s="77" t="n">
        <f aca="false">IF(AND(C277=1,D277=0,E277=0),1,0)</f>
        <v>1</v>
      </c>
      <c r="G277" s="77" t="n">
        <f aca="false">(YEAR(A277)-YEAR(Impostazioni!$B$11))*12+MONTH(A277)-MONTH(Impostazioni!$B$11)</f>
        <v>9</v>
      </c>
      <c r="H277" s="77" t="n">
        <f aca="false">INT((DAY(A277)-1+WEEKDAY(DATE(YEAR(A277),MONTH(A277),1),2)-1)/7)</f>
        <v>0</v>
      </c>
      <c r="I277" s="77" t="str">
        <f aca="false">IF(G277&gt;11,"",INDEX(Calendario!$A$14:$G$193,4+15*G277+2*H277,WEEKDAY(A277,2))&amp;"")</f>
        <v/>
      </c>
      <c r="J277" s="77" t="n">
        <f aca="false">IF(AND(F277=1,I277="A"),1,0)</f>
        <v>0</v>
      </c>
      <c r="K277" s="77" t="n">
        <f aca="false">IF(AND(F277=1,I277="G"),1,0)</f>
        <v>0</v>
      </c>
      <c r="L277" s="77" t="n">
        <f aca="false">IF(AND(F277=1,A277&gt;=Impostazioni!$B$8),1,0)</f>
        <v>1</v>
      </c>
      <c r="M277" s="77" t="n">
        <f aca="false">IF(C277=0,3,IF(OR(D277=1,E277=1),2,IF(WEEKDAY(A277,2)&gt;5,1,0)))</f>
        <v>1</v>
      </c>
      <c r="N277" s="77" t="str">
        <f aca="false">IF(OR(I277="A",I277="G"),MAX(N$1:N276)+1,"")</f>
        <v/>
      </c>
    </row>
    <row r="278" customFormat="false" ht="15" hidden="false" customHeight="false" outlineLevel="0" collapsed="false">
      <c r="A278" s="75" t="n">
        <f aca="false">A277+1</f>
        <v>46572</v>
      </c>
      <c r="B278" s="76" t="n">
        <f aca="false">DATE(YEAR(A278),MONTH(A278),1)</f>
        <v>46569</v>
      </c>
      <c r="C278" s="77" t="n">
        <f aca="false">IF(AND(A278&gt;=Impostazioni!$B$4,A278&lt;=Impostazioni!$B$5),1,0)</f>
        <v>1</v>
      </c>
      <c r="D278" s="77" t="n">
        <f aca="false">IF(COUNTIF(Impostazioni!$A$27:$A$56,A278)&gt;0,1,0)</f>
        <v>0</v>
      </c>
      <c r="E278" s="77" t="n">
        <f aca="false">IF(COUNTIFS(Impostazioni!$A$16:$A$23,"&lt;="&amp;A278,Impostazioni!$B$16:$B$23,"&gt;="&amp;A278)&gt;0,1,0)</f>
        <v>0</v>
      </c>
      <c r="F278" s="77" t="n">
        <f aca="false">IF(AND(C278=1,D278=0,E278=0),1,0)</f>
        <v>1</v>
      </c>
      <c r="G278" s="77" t="n">
        <f aca="false">(YEAR(A278)-YEAR(Impostazioni!$B$11))*12+MONTH(A278)-MONTH(Impostazioni!$B$11)</f>
        <v>9</v>
      </c>
      <c r="H278" s="77" t="n">
        <f aca="false">INT((DAY(A278)-1+WEEKDAY(DATE(YEAR(A278),MONTH(A278),1),2)-1)/7)</f>
        <v>0</v>
      </c>
      <c r="I278" s="77" t="str">
        <f aca="false">IF(G278&gt;11,"",INDEX(Calendario!$A$14:$G$193,4+15*G278+2*H278,WEEKDAY(A278,2))&amp;"")</f>
        <v/>
      </c>
      <c r="J278" s="77" t="n">
        <f aca="false">IF(AND(F278=1,I278="A"),1,0)</f>
        <v>0</v>
      </c>
      <c r="K278" s="77" t="n">
        <f aca="false">IF(AND(F278=1,I278="G"),1,0)</f>
        <v>0</v>
      </c>
      <c r="L278" s="77" t="n">
        <f aca="false">IF(AND(F278=1,A278&gt;=Impostazioni!$B$8),1,0)</f>
        <v>1</v>
      </c>
      <c r="M278" s="77" t="n">
        <f aca="false">IF(C278=0,3,IF(OR(D278=1,E278=1),2,IF(WEEKDAY(A278,2)&gt;5,1,0)))</f>
        <v>1</v>
      </c>
      <c r="N278" s="77" t="str">
        <f aca="false">IF(OR(I278="A",I278="G"),MAX(N$1:N277)+1,"")</f>
        <v/>
      </c>
    </row>
    <row r="279" customFormat="false" ht="15" hidden="false" customHeight="false" outlineLevel="0" collapsed="false">
      <c r="A279" s="75" t="n">
        <f aca="false">A278+1</f>
        <v>46573</v>
      </c>
      <c r="B279" s="76" t="n">
        <f aca="false">DATE(YEAR(A279),MONTH(A279),1)</f>
        <v>46569</v>
      </c>
      <c r="C279" s="77" t="n">
        <f aca="false">IF(AND(A279&gt;=Impostazioni!$B$4,A279&lt;=Impostazioni!$B$5),1,0)</f>
        <v>1</v>
      </c>
      <c r="D279" s="77" t="n">
        <f aca="false">IF(COUNTIF(Impostazioni!$A$27:$A$56,A279)&gt;0,1,0)</f>
        <v>0</v>
      </c>
      <c r="E279" s="77" t="n">
        <f aca="false">IF(COUNTIFS(Impostazioni!$A$16:$A$23,"&lt;="&amp;A279,Impostazioni!$B$16:$B$23,"&gt;="&amp;A279)&gt;0,1,0)</f>
        <v>0</v>
      </c>
      <c r="F279" s="77" t="n">
        <f aca="false">IF(AND(C279=1,D279=0,E279=0),1,0)</f>
        <v>1</v>
      </c>
      <c r="G279" s="77" t="n">
        <f aca="false">(YEAR(A279)-YEAR(Impostazioni!$B$11))*12+MONTH(A279)-MONTH(Impostazioni!$B$11)</f>
        <v>9</v>
      </c>
      <c r="H279" s="77" t="n">
        <f aca="false">INT((DAY(A279)-1+WEEKDAY(DATE(YEAR(A279),MONTH(A279),1),2)-1)/7)</f>
        <v>1</v>
      </c>
      <c r="I279" s="77" t="str">
        <f aca="false">IF(G279&gt;11,"",INDEX(Calendario!$A$14:$G$193,4+15*G279+2*H279,WEEKDAY(A279,2))&amp;"")</f>
        <v/>
      </c>
      <c r="J279" s="77" t="n">
        <f aca="false">IF(AND(F279=1,I279="A"),1,0)</f>
        <v>0</v>
      </c>
      <c r="K279" s="77" t="n">
        <f aca="false">IF(AND(F279=1,I279="G"),1,0)</f>
        <v>0</v>
      </c>
      <c r="L279" s="77" t="n">
        <f aca="false">IF(AND(F279=1,A279&gt;=Impostazioni!$B$8),1,0)</f>
        <v>1</v>
      </c>
      <c r="M279" s="77" t="n">
        <f aca="false">IF(C279=0,3,IF(OR(D279=1,E279=1),2,IF(WEEKDAY(A279,2)&gt;5,1,0)))</f>
        <v>0</v>
      </c>
      <c r="N279" s="77" t="str">
        <f aca="false">IF(OR(I279="A",I279="G"),MAX(N$1:N278)+1,"")</f>
        <v/>
      </c>
    </row>
    <row r="280" customFormat="false" ht="15" hidden="false" customHeight="false" outlineLevel="0" collapsed="false">
      <c r="A280" s="75" t="n">
        <f aca="false">A279+1</f>
        <v>46574</v>
      </c>
      <c r="B280" s="76" t="n">
        <f aca="false">DATE(YEAR(A280),MONTH(A280),1)</f>
        <v>46569</v>
      </c>
      <c r="C280" s="77" t="n">
        <f aca="false">IF(AND(A280&gt;=Impostazioni!$B$4,A280&lt;=Impostazioni!$B$5),1,0)</f>
        <v>1</v>
      </c>
      <c r="D280" s="77" t="n">
        <f aca="false">IF(COUNTIF(Impostazioni!$A$27:$A$56,A280)&gt;0,1,0)</f>
        <v>0</v>
      </c>
      <c r="E280" s="77" t="n">
        <f aca="false">IF(COUNTIFS(Impostazioni!$A$16:$A$23,"&lt;="&amp;A280,Impostazioni!$B$16:$B$23,"&gt;="&amp;A280)&gt;0,1,0)</f>
        <v>0</v>
      </c>
      <c r="F280" s="77" t="n">
        <f aca="false">IF(AND(C280=1,D280=0,E280=0),1,0)</f>
        <v>1</v>
      </c>
      <c r="G280" s="77" t="n">
        <f aca="false">(YEAR(A280)-YEAR(Impostazioni!$B$11))*12+MONTH(A280)-MONTH(Impostazioni!$B$11)</f>
        <v>9</v>
      </c>
      <c r="H280" s="77" t="n">
        <f aca="false">INT((DAY(A280)-1+WEEKDAY(DATE(YEAR(A280),MONTH(A280),1),2)-1)/7)</f>
        <v>1</v>
      </c>
      <c r="I280" s="77" t="str">
        <f aca="false">IF(G280&gt;11,"",INDEX(Calendario!$A$14:$G$193,4+15*G280+2*H280,WEEKDAY(A280,2))&amp;"")</f>
        <v/>
      </c>
      <c r="J280" s="77" t="n">
        <f aca="false">IF(AND(F280=1,I280="A"),1,0)</f>
        <v>0</v>
      </c>
      <c r="K280" s="77" t="n">
        <f aca="false">IF(AND(F280=1,I280="G"),1,0)</f>
        <v>0</v>
      </c>
      <c r="L280" s="77" t="n">
        <f aca="false">IF(AND(F280=1,A280&gt;=Impostazioni!$B$8),1,0)</f>
        <v>1</v>
      </c>
      <c r="M280" s="77" t="n">
        <f aca="false">IF(C280=0,3,IF(OR(D280=1,E280=1),2,IF(WEEKDAY(A280,2)&gt;5,1,0)))</f>
        <v>0</v>
      </c>
      <c r="N280" s="77" t="str">
        <f aca="false">IF(OR(I280="A",I280="G"),MAX(N$1:N279)+1,"")</f>
        <v/>
      </c>
    </row>
    <row r="281" customFormat="false" ht="15" hidden="false" customHeight="false" outlineLevel="0" collapsed="false">
      <c r="A281" s="75" t="n">
        <f aca="false">A280+1</f>
        <v>46575</v>
      </c>
      <c r="B281" s="76" t="n">
        <f aca="false">DATE(YEAR(A281),MONTH(A281),1)</f>
        <v>46569</v>
      </c>
      <c r="C281" s="77" t="n">
        <f aca="false">IF(AND(A281&gt;=Impostazioni!$B$4,A281&lt;=Impostazioni!$B$5),1,0)</f>
        <v>1</v>
      </c>
      <c r="D281" s="77" t="n">
        <f aca="false">IF(COUNTIF(Impostazioni!$A$27:$A$56,A281)&gt;0,1,0)</f>
        <v>0</v>
      </c>
      <c r="E281" s="77" t="n">
        <f aca="false">IF(COUNTIFS(Impostazioni!$A$16:$A$23,"&lt;="&amp;A281,Impostazioni!$B$16:$B$23,"&gt;="&amp;A281)&gt;0,1,0)</f>
        <v>0</v>
      </c>
      <c r="F281" s="77" t="n">
        <f aca="false">IF(AND(C281=1,D281=0,E281=0),1,0)</f>
        <v>1</v>
      </c>
      <c r="G281" s="77" t="n">
        <f aca="false">(YEAR(A281)-YEAR(Impostazioni!$B$11))*12+MONTH(A281)-MONTH(Impostazioni!$B$11)</f>
        <v>9</v>
      </c>
      <c r="H281" s="77" t="n">
        <f aca="false">INT((DAY(A281)-1+WEEKDAY(DATE(YEAR(A281),MONTH(A281),1),2)-1)/7)</f>
        <v>1</v>
      </c>
      <c r="I281" s="77" t="str">
        <f aca="false">IF(G281&gt;11,"",INDEX(Calendario!$A$14:$G$193,4+15*G281+2*H281,WEEKDAY(A281,2))&amp;"")</f>
        <v/>
      </c>
      <c r="J281" s="77" t="n">
        <f aca="false">IF(AND(F281=1,I281="A"),1,0)</f>
        <v>0</v>
      </c>
      <c r="K281" s="77" t="n">
        <f aca="false">IF(AND(F281=1,I281="G"),1,0)</f>
        <v>0</v>
      </c>
      <c r="L281" s="77" t="n">
        <f aca="false">IF(AND(F281=1,A281&gt;=Impostazioni!$B$8),1,0)</f>
        <v>1</v>
      </c>
      <c r="M281" s="77" t="n">
        <f aca="false">IF(C281=0,3,IF(OR(D281=1,E281=1),2,IF(WEEKDAY(A281,2)&gt;5,1,0)))</f>
        <v>0</v>
      </c>
      <c r="N281" s="77" t="str">
        <f aca="false">IF(OR(I281="A",I281="G"),MAX(N$1:N280)+1,"")</f>
        <v/>
      </c>
    </row>
    <row r="282" customFormat="false" ht="15" hidden="false" customHeight="false" outlineLevel="0" collapsed="false">
      <c r="A282" s="75" t="n">
        <f aca="false">A281+1</f>
        <v>46576</v>
      </c>
      <c r="B282" s="76" t="n">
        <f aca="false">DATE(YEAR(A282),MONTH(A282),1)</f>
        <v>46569</v>
      </c>
      <c r="C282" s="77" t="n">
        <f aca="false">IF(AND(A282&gt;=Impostazioni!$B$4,A282&lt;=Impostazioni!$B$5),1,0)</f>
        <v>1</v>
      </c>
      <c r="D282" s="77" t="n">
        <f aca="false">IF(COUNTIF(Impostazioni!$A$27:$A$56,A282)&gt;0,1,0)</f>
        <v>0</v>
      </c>
      <c r="E282" s="77" t="n">
        <f aca="false">IF(COUNTIFS(Impostazioni!$A$16:$A$23,"&lt;="&amp;A282,Impostazioni!$B$16:$B$23,"&gt;="&amp;A282)&gt;0,1,0)</f>
        <v>0</v>
      </c>
      <c r="F282" s="77" t="n">
        <f aca="false">IF(AND(C282=1,D282=0,E282=0),1,0)</f>
        <v>1</v>
      </c>
      <c r="G282" s="77" t="n">
        <f aca="false">(YEAR(A282)-YEAR(Impostazioni!$B$11))*12+MONTH(A282)-MONTH(Impostazioni!$B$11)</f>
        <v>9</v>
      </c>
      <c r="H282" s="77" t="n">
        <f aca="false">INT((DAY(A282)-1+WEEKDAY(DATE(YEAR(A282),MONTH(A282),1),2)-1)/7)</f>
        <v>1</v>
      </c>
      <c r="I282" s="77" t="str">
        <f aca="false">IF(G282&gt;11,"",INDEX(Calendario!$A$14:$G$193,4+15*G282+2*H282,WEEKDAY(A282,2))&amp;"")</f>
        <v/>
      </c>
      <c r="J282" s="77" t="n">
        <f aca="false">IF(AND(F282=1,I282="A"),1,0)</f>
        <v>0</v>
      </c>
      <c r="K282" s="77" t="n">
        <f aca="false">IF(AND(F282=1,I282="G"),1,0)</f>
        <v>0</v>
      </c>
      <c r="L282" s="77" t="n">
        <f aca="false">IF(AND(F282=1,A282&gt;=Impostazioni!$B$8),1,0)</f>
        <v>1</v>
      </c>
      <c r="M282" s="77" t="n">
        <f aca="false">IF(C282=0,3,IF(OR(D282=1,E282=1),2,IF(WEEKDAY(A282,2)&gt;5,1,0)))</f>
        <v>0</v>
      </c>
      <c r="N282" s="77" t="str">
        <f aca="false">IF(OR(I282="A",I282="G"),MAX(N$1:N281)+1,"")</f>
        <v/>
      </c>
    </row>
    <row r="283" customFormat="false" ht="15" hidden="false" customHeight="false" outlineLevel="0" collapsed="false">
      <c r="A283" s="75" t="n">
        <f aca="false">A282+1</f>
        <v>46577</v>
      </c>
      <c r="B283" s="76" t="n">
        <f aca="false">DATE(YEAR(A283),MONTH(A283),1)</f>
        <v>46569</v>
      </c>
      <c r="C283" s="77" t="n">
        <f aca="false">IF(AND(A283&gt;=Impostazioni!$B$4,A283&lt;=Impostazioni!$B$5),1,0)</f>
        <v>1</v>
      </c>
      <c r="D283" s="77" t="n">
        <f aca="false">IF(COUNTIF(Impostazioni!$A$27:$A$56,A283)&gt;0,1,0)</f>
        <v>0</v>
      </c>
      <c r="E283" s="77" t="n">
        <f aca="false">IF(COUNTIFS(Impostazioni!$A$16:$A$23,"&lt;="&amp;A283,Impostazioni!$B$16:$B$23,"&gt;="&amp;A283)&gt;0,1,0)</f>
        <v>0</v>
      </c>
      <c r="F283" s="77" t="n">
        <f aca="false">IF(AND(C283=1,D283=0,E283=0),1,0)</f>
        <v>1</v>
      </c>
      <c r="G283" s="77" t="n">
        <f aca="false">(YEAR(A283)-YEAR(Impostazioni!$B$11))*12+MONTH(A283)-MONTH(Impostazioni!$B$11)</f>
        <v>9</v>
      </c>
      <c r="H283" s="77" t="n">
        <f aca="false">INT((DAY(A283)-1+WEEKDAY(DATE(YEAR(A283),MONTH(A283),1),2)-1)/7)</f>
        <v>1</v>
      </c>
      <c r="I283" s="77" t="str">
        <f aca="false">IF(G283&gt;11,"",INDEX(Calendario!$A$14:$G$193,4+15*G283+2*H283,WEEKDAY(A283,2))&amp;"")</f>
        <v/>
      </c>
      <c r="J283" s="77" t="n">
        <f aca="false">IF(AND(F283=1,I283="A"),1,0)</f>
        <v>0</v>
      </c>
      <c r="K283" s="77" t="n">
        <f aca="false">IF(AND(F283=1,I283="G"),1,0)</f>
        <v>0</v>
      </c>
      <c r="L283" s="77" t="n">
        <f aca="false">IF(AND(F283=1,A283&gt;=Impostazioni!$B$8),1,0)</f>
        <v>1</v>
      </c>
      <c r="M283" s="77" t="n">
        <f aca="false">IF(C283=0,3,IF(OR(D283=1,E283=1),2,IF(WEEKDAY(A283,2)&gt;5,1,0)))</f>
        <v>0</v>
      </c>
      <c r="N283" s="77" t="str">
        <f aca="false">IF(OR(I283="A",I283="G"),MAX(N$1:N282)+1,"")</f>
        <v/>
      </c>
    </row>
    <row r="284" customFormat="false" ht="15" hidden="false" customHeight="false" outlineLevel="0" collapsed="false">
      <c r="A284" s="75" t="n">
        <f aca="false">A283+1</f>
        <v>46578</v>
      </c>
      <c r="B284" s="76" t="n">
        <f aca="false">DATE(YEAR(A284),MONTH(A284),1)</f>
        <v>46569</v>
      </c>
      <c r="C284" s="77" t="n">
        <f aca="false">IF(AND(A284&gt;=Impostazioni!$B$4,A284&lt;=Impostazioni!$B$5),1,0)</f>
        <v>1</v>
      </c>
      <c r="D284" s="77" t="n">
        <f aca="false">IF(COUNTIF(Impostazioni!$A$27:$A$56,A284)&gt;0,1,0)</f>
        <v>0</v>
      </c>
      <c r="E284" s="77" t="n">
        <f aca="false">IF(COUNTIFS(Impostazioni!$A$16:$A$23,"&lt;="&amp;A284,Impostazioni!$B$16:$B$23,"&gt;="&amp;A284)&gt;0,1,0)</f>
        <v>0</v>
      </c>
      <c r="F284" s="77" t="n">
        <f aca="false">IF(AND(C284=1,D284=0,E284=0),1,0)</f>
        <v>1</v>
      </c>
      <c r="G284" s="77" t="n">
        <f aca="false">(YEAR(A284)-YEAR(Impostazioni!$B$11))*12+MONTH(A284)-MONTH(Impostazioni!$B$11)</f>
        <v>9</v>
      </c>
      <c r="H284" s="77" t="n">
        <f aca="false">INT((DAY(A284)-1+WEEKDAY(DATE(YEAR(A284),MONTH(A284),1),2)-1)/7)</f>
        <v>1</v>
      </c>
      <c r="I284" s="77" t="str">
        <f aca="false">IF(G284&gt;11,"",INDEX(Calendario!$A$14:$G$193,4+15*G284+2*H284,WEEKDAY(A284,2))&amp;"")</f>
        <v/>
      </c>
      <c r="J284" s="77" t="n">
        <f aca="false">IF(AND(F284=1,I284="A"),1,0)</f>
        <v>0</v>
      </c>
      <c r="K284" s="77" t="n">
        <f aca="false">IF(AND(F284=1,I284="G"),1,0)</f>
        <v>0</v>
      </c>
      <c r="L284" s="77" t="n">
        <f aca="false">IF(AND(F284=1,A284&gt;=Impostazioni!$B$8),1,0)</f>
        <v>1</v>
      </c>
      <c r="M284" s="77" t="n">
        <f aca="false">IF(C284=0,3,IF(OR(D284=1,E284=1),2,IF(WEEKDAY(A284,2)&gt;5,1,0)))</f>
        <v>1</v>
      </c>
      <c r="N284" s="77" t="str">
        <f aca="false">IF(OR(I284="A",I284="G"),MAX(N$1:N283)+1,"")</f>
        <v/>
      </c>
    </row>
    <row r="285" customFormat="false" ht="15" hidden="false" customHeight="false" outlineLevel="0" collapsed="false">
      <c r="A285" s="75" t="n">
        <f aca="false">A284+1</f>
        <v>46579</v>
      </c>
      <c r="B285" s="76" t="n">
        <f aca="false">DATE(YEAR(A285),MONTH(A285),1)</f>
        <v>46569</v>
      </c>
      <c r="C285" s="77" t="n">
        <f aca="false">IF(AND(A285&gt;=Impostazioni!$B$4,A285&lt;=Impostazioni!$B$5),1,0)</f>
        <v>1</v>
      </c>
      <c r="D285" s="77" t="n">
        <f aca="false">IF(COUNTIF(Impostazioni!$A$27:$A$56,A285)&gt;0,1,0)</f>
        <v>0</v>
      </c>
      <c r="E285" s="77" t="n">
        <f aca="false">IF(COUNTIFS(Impostazioni!$A$16:$A$23,"&lt;="&amp;A285,Impostazioni!$B$16:$B$23,"&gt;="&amp;A285)&gt;0,1,0)</f>
        <v>0</v>
      </c>
      <c r="F285" s="77" t="n">
        <f aca="false">IF(AND(C285=1,D285=0,E285=0),1,0)</f>
        <v>1</v>
      </c>
      <c r="G285" s="77" t="n">
        <f aca="false">(YEAR(A285)-YEAR(Impostazioni!$B$11))*12+MONTH(A285)-MONTH(Impostazioni!$B$11)</f>
        <v>9</v>
      </c>
      <c r="H285" s="77" t="n">
        <f aca="false">INT((DAY(A285)-1+WEEKDAY(DATE(YEAR(A285),MONTH(A285),1),2)-1)/7)</f>
        <v>1</v>
      </c>
      <c r="I285" s="77" t="str">
        <f aca="false">IF(G285&gt;11,"",INDEX(Calendario!$A$14:$G$193,4+15*G285+2*H285,WEEKDAY(A285,2))&amp;"")</f>
        <v/>
      </c>
      <c r="J285" s="77" t="n">
        <f aca="false">IF(AND(F285=1,I285="A"),1,0)</f>
        <v>0</v>
      </c>
      <c r="K285" s="77" t="n">
        <f aca="false">IF(AND(F285=1,I285="G"),1,0)</f>
        <v>0</v>
      </c>
      <c r="L285" s="77" t="n">
        <f aca="false">IF(AND(F285=1,A285&gt;=Impostazioni!$B$8),1,0)</f>
        <v>1</v>
      </c>
      <c r="M285" s="77" t="n">
        <f aca="false">IF(C285=0,3,IF(OR(D285=1,E285=1),2,IF(WEEKDAY(A285,2)&gt;5,1,0)))</f>
        <v>1</v>
      </c>
      <c r="N285" s="77" t="str">
        <f aca="false">IF(OR(I285="A",I285="G"),MAX(N$1:N284)+1,"")</f>
        <v/>
      </c>
    </row>
    <row r="286" customFormat="false" ht="15" hidden="false" customHeight="false" outlineLevel="0" collapsed="false">
      <c r="A286" s="75" t="n">
        <f aca="false">A285+1</f>
        <v>46580</v>
      </c>
      <c r="B286" s="76" t="n">
        <f aca="false">DATE(YEAR(A286),MONTH(A286),1)</f>
        <v>46569</v>
      </c>
      <c r="C286" s="77" t="n">
        <f aca="false">IF(AND(A286&gt;=Impostazioni!$B$4,A286&lt;=Impostazioni!$B$5),1,0)</f>
        <v>1</v>
      </c>
      <c r="D286" s="77" t="n">
        <f aca="false">IF(COUNTIF(Impostazioni!$A$27:$A$56,A286)&gt;0,1,0)</f>
        <v>0</v>
      </c>
      <c r="E286" s="77" t="n">
        <f aca="false">IF(COUNTIFS(Impostazioni!$A$16:$A$23,"&lt;="&amp;A286,Impostazioni!$B$16:$B$23,"&gt;="&amp;A286)&gt;0,1,0)</f>
        <v>0</v>
      </c>
      <c r="F286" s="77" t="n">
        <f aca="false">IF(AND(C286=1,D286=0,E286=0),1,0)</f>
        <v>1</v>
      </c>
      <c r="G286" s="77" t="n">
        <f aca="false">(YEAR(A286)-YEAR(Impostazioni!$B$11))*12+MONTH(A286)-MONTH(Impostazioni!$B$11)</f>
        <v>9</v>
      </c>
      <c r="H286" s="77" t="n">
        <f aca="false">INT((DAY(A286)-1+WEEKDAY(DATE(YEAR(A286),MONTH(A286),1),2)-1)/7)</f>
        <v>2</v>
      </c>
      <c r="I286" s="77" t="str">
        <f aca="false">IF(G286&gt;11,"",INDEX(Calendario!$A$14:$G$193,4+15*G286+2*H286,WEEKDAY(A286,2))&amp;"")</f>
        <v/>
      </c>
      <c r="J286" s="77" t="n">
        <f aca="false">IF(AND(F286=1,I286="A"),1,0)</f>
        <v>0</v>
      </c>
      <c r="K286" s="77" t="n">
        <f aca="false">IF(AND(F286=1,I286="G"),1,0)</f>
        <v>0</v>
      </c>
      <c r="L286" s="77" t="n">
        <f aca="false">IF(AND(F286=1,A286&gt;=Impostazioni!$B$8),1,0)</f>
        <v>1</v>
      </c>
      <c r="M286" s="77" t="n">
        <f aca="false">IF(C286=0,3,IF(OR(D286=1,E286=1),2,IF(WEEKDAY(A286,2)&gt;5,1,0)))</f>
        <v>0</v>
      </c>
      <c r="N286" s="77" t="str">
        <f aca="false">IF(OR(I286="A",I286="G"),MAX(N$1:N285)+1,"")</f>
        <v/>
      </c>
    </row>
    <row r="287" customFormat="false" ht="15" hidden="false" customHeight="false" outlineLevel="0" collapsed="false">
      <c r="A287" s="75" t="n">
        <f aca="false">A286+1</f>
        <v>46581</v>
      </c>
      <c r="B287" s="76" t="n">
        <f aca="false">DATE(YEAR(A287),MONTH(A287),1)</f>
        <v>46569</v>
      </c>
      <c r="C287" s="77" t="n">
        <f aca="false">IF(AND(A287&gt;=Impostazioni!$B$4,A287&lt;=Impostazioni!$B$5),1,0)</f>
        <v>1</v>
      </c>
      <c r="D287" s="77" t="n">
        <f aca="false">IF(COUNTIF(Impostazioni!$A$27:$A$56,A287)&gt;0,1,0)</f>
        <v>0</v>
      </c>
      <c r="E287" s="77" t="n">
        <f aca="false">IF(COUNTIFS(Impostazioni!$A$16:$A$23,"&lt;="&amp;A287,Impostazioni!$B$16:$B$23,"&gt;="&amp;A287)&gt;0,1,0)</f>
        <v>0</v>
      </c>
      <c r="F287" s="77" t="n">
        <f aca="false">IF(AND(C287=1,D287=0,E287=0),1,0)</f>
        <v>1</v>
      </c>
      <c r="G287" s="77" t="n">
        <f aca="false">(YEAR(A287)-YEAR(Impostazioni!$B$11))*12+MONTH(A287)-MONTH(Impostazioni!$B$11)</f>
        <v>9</v>
      </c>
      <c r="H287" s="77" t="n">
        <f aca="false">INT((DAY(A287)-1+WEEKDAY(DATE(YEAR(A287),MONTH(A287),1),2)-1)/7)</f>
        <v>2</v>
      </c>
      <c r="I287" s="77" t="str">
        <f aca="false">IF(G287&gt;11,"",INDEX(Calendario!$A$14:$G$193,4+15*G287+2*H287,WEEKDAY(A287,2))&amp;"")</f>
        <v/>
      </c>
      <c r="J287" s="77" t="n">
        <f aca="false">IF(AND(F287=1,I287="A"),1,0)</f>
        <v>0</v>
      </c>
      <c r="K287" s="77" t="n">
        <f aca="false">IF(AND(F287=1,I287="G"),1,0)</f>
        <v>0</v>
      </c>
      <c r="L287" s="77" t="n">
        <f aca="false">IF(AND(F287=1,A287&gt;=Impostazioni!$B$8),1,0)</f>
        <v>1</v>
      </c>
      <c r="M287" s="77" t="n">
        <f aca="false">IF(C287=0,3,IF(OR(D287=1,E287=1),2,IF(WEEKDAY(A287,2)&gt;5,1,0)))</f>
        <v>0</v>
      </c>
      <c r="N287" s="77" t="str">
        <f aca="false">IF(OR(I287="A",I287="G"),MAX(N$1:N286)+1,"")</f>
        <v/>
      </c>
    </row>
    <row r="288" customFormat="false" ht="15" hidden="false" customHeight="false" outlineLevel="0" collapsed="false">
      <c r="A288" s="75" t="n">
        <f aca="false">A287+1</f>
        <v>46582</v>
      </c>
      <c r="B288" s="76" t="n">
        <f aca="false">DATE(YEAR(A288),MONTH(A288),1)</f>
        <v>46569</v>
      </c>
      <c r="C288" s="77" t="n">
        <f aca="false">IF(AND(A288&gt;=Impostazioni!$B$4,A288&lt;=Impostazioni!$B$5),1,0)</f>
        <v>1</v>
      </c>
      <c r="D288" s="77" t="n">
        <f aca="false">IF(COUNTIF(Impostazioni!$A$27:$A$56,A288)&gt;0,1,0)</f>
        <v>0</v>
      </c>
      <c r="E288" s="77" t="n">
        <f aca="false">IF(COUNTIFS(Impostazioni!$A$16:$A$23,"&lt;="&amp;A288,Impostazioni!$B$16:$B$23,"&gt;="&amp;A288)&gt;0,1,0)</f>
        <v>0</v>
      </c>
      <c r="F288" s="77" t="n">
        <f aca="false">IF(AND(C288=1,D288=0,E288=0),1,0)</f>
        <v>1</v>
      </c>
      <c r="G288" s="77" t="n">
        <f aca="false">(YEAR(A288)-YEAR(Impostazioni!$B$11))*12+MONTH(A288)-MONTH(Impostazioni!$B$11)</f>
        <v>9</v>
      </c>
      <c r="H288" s="77" t="n">
        <f aca="false">INT((DAY(A288)-1+WEEKDAY(DATE(YEAR(A288),MONTH(A288),1),2)-1)/7)</f>
        <v>2</v>
      </c>
      <c r="I288" s="77" t="str">
        <f aca="false">IF(G288&gt;11,"",INDEX(Calendario!$A$14:$G$193,4+15*G288+2*H288,WEEKDAY(A288,2))&amp;"")</f>
        <v/>
      </c>
      <c r="J288" s="77" t="n">
        <f aca="false">IF(AND(F288=1,I288="A"),1,0)</f>
        <v>0</v>
      </c>
      <c r="K288" s="77" t="n">
        <f aca="false">IF(AND(F288=1,I288="G"),1,0)</f>
        <v>0</v>
      </c>
      <c r="L288" s="77" t="n">
        <f aca="false">IF(AND(F288=1,A288&gt;=Impostazioni!$B$8),1,0)</f>
        <v>1</v>
      </c>
      <c r="M288" s="77" t="n">
        <f aca="false">IF(C288=0,3,IF(OR(D288=1,E288=1),2,IF(WEEKDAY(A288,2)&gt;5,1,0)))</f>
        <v>0</v>
      </c>
      <c r="N288" s="77" t="str">
        <f aca="false">IF(OR(I288="A",I288="G"),MAX(N$1:N287)+1,"")</f>
        <v/>
      </c>
    </row>
    <row r="289" customFormat="false" ht="15" hidden="false" customHeight="false" outlineLevel="0" collapsed="false">
      <c r="A289" s="75" t="n">
        <f aca="false">A288+1</f>
        <v>46583</v>
      </c>
      <c r="B289" s="76" t="n">
        <f aca="false">DATE(YEAR(A289),MONTH(A289),1)</f>
        <v>46569</v>
      </c>
      <c r="C289" s="77" t="n">
        <f aca="false">IF(AND(A289&gt;=Impostazioni!$B$4,A289&lt;=Impostazioni!$B$5),1,0)</f>
        <v>1</v>
      </c>
      <c r="D289" s="77" t="n">
        <f aca="false">IF(COUNTIF(Impostazioni!$A$27:$A$56,A289)&gt;0,1,0)</f>
        <v>0</v>
      </c>
      <c r="E289" s="77" t="n">
        <f aca="false">IF(COUNTIFS(Impostazioni!$A$16:$A$23,"&lt;="&amp;A289,Impostazioni!$B$16:$B$23,"&gt;="&amp;A289)&gt;0,1,0)</f>
        <v>0</v>
      </c>
      <c r="F289" s="77" t="n">
        <f aca="false">IF(AND(C289=1,D289=0,E289=0),1,0)</f>
        <v>1</v>
      </c>
      <c r="G289" s="77" t="n">
        <f aca="false">(YEAR(A289)-YEAR(Impostazioni!$B$11))*12+MONTH(A289)-MONTH(Impostazioni!$B$11)</f>
        <v>9</v>
      </c>
      <c r="H289" s="77" t="n">
        <f aca="false">INT((DAY(A289)-1+WEEKDAY(DATE(YEAR(A289),MONTH(A289),1),2)-1)/7)</f>
        <v>2</v>
      </c>
      <c r="I289" s="77" t="str">
        <f aca="false">IF(G289&gt;11,"",INDEX(Calendario!$A$14:$G$193,4+15*G289+2*H289,WEEKDAY(A289,2))&amp;"")</f>
        <v/>
      </c>
      <c r="J289" s="77" t="n">
        <f aca="false">IF(AND(F289=1,I289="A"),1,0)</f>
        <v>0</v>
      </c>
      <c r="K289" s="77" t="n">
        <f aca="false">IF(AND(F289=1,I289="G"),1,0)</f>
        <v>0</v>
      </c>
      <c r="L289" s="77" t="n">
        <f aca="false">IF(AND(F289=1,A289&gt;=Impostazioni!$B$8),1,0)</f>
        <v>1</v>
      </c>
      <c r="M289" s="77" t="n">
        <f aca="false">IF(C289=0,3,IF(OR(D289=1,E289=1),2,IF(WEEKDAY(A289,2)&gt;5,1,0)))</f>
        <v>0</v>
      </c>
      <c r="N289" s="77" t="str">
        <f aca="false">IF(OR(I289="A",I289="G"),MAX(N$1:N288)+1,"")</f>
        <v/>
      </c>
    </row>
    <row r="290" customFormat="false" ht="15" hidden="false" customHeight="false" outlineLevel="0" collapsed="false">
      <c r="A290" s="75" t="n">
        <f aca="false">A289+1</f>
        <v>46584</v>
      </c>
      <c r="B290" s="76" t="n">
        <f aca="false">DATE(YEAR(A290),MONTH(A290),1)</f>
        <v>46569</v>
      </c>
      <c r="C290" s="77" t="n">
        <f aca="false">IF(AND(A290&gt;=Impostazioni!$B$4,A290&lt;=Impostazioni!$B$5),1,0)</f>
        <v>1</v>
      </c>
      <c r="D290" s="77" t="n">
        <f aca="false">IF(COUNTIF(Impostazioni!$A$27:$A$56,A290)&gt;0,1,0)</f>
        <v>0</v>
      </c>
      <c r="E290" s="77" t="n">
        <f aca="false">IF(COUNTIFS(Impostazioni!$A$16:$A$23,"&lt;="&amp;A290,Impostazioni!$B$16:$B$23,"&gt;="&amp;A290)&gt;0,1,0)</f>
        <v>0</v>
      </c>
      <c r="F290" s="77" t="n">
        <f aca="false">IF(AND(C290=1,D290=0,E290=0),1,0)</f>
        <v>1</v>
      </c>
      <c r="G290" s="77" t="n">
        <f aca="false">(YEAR(A290)-YEAR(Impostazioni!$B$11))*12+MONTH(A290)-MONTH(Impostazioni!$B$11)</f>
        <v>9</v>
      </c>
      <c r="H290" s="77" t="n">
        <f aca="false">INT((DAY(A290)-1+WEEKDAY(DATE(YEAR(A290),MONTH(A290),1),2)-1)/7)</f>
        <v>2</v>
      </c>
      <c r="I290" s="77" t="str">
        <f aca="false">IF(G290&gt;11,"",INDEX(Calendario!$A$14:$G$193,4+15*G290+2*H290,WEEKDAY(A290,2))&amp;"")</f>
        <v/>
      </c>
      <c r="J290" s="77" t="n">
        <f aca="false">IF(AND(F290=1,I290="A"),1,0)</f>
        <v>0</v>
      </c>
      <c r="K290" s="77" t="n">
        <f aca="false">IF(AND(F290=1,I290="G"),1,0)</f>
        <v>0</v>
      </c>
      <c r="L290" s="77" t="n">
        <f aca="false">IF(AND(F290=1,A290&gt;=Impostazioni!$B$8),1,0)</f>
        <v>1</v>
      </c>
      <c r="M290" s="77" t="n">
        <f aca="false">IF(C290=0,3,IF(OR(D290=1,E290=1),2,IF(WEEKDAY(A290,2)&gt;5,1,0)))</f>
        <v>0</v>
      </c>
      <c r="N290" s="77" t="str">
        <f aca="false">IF(OR(I290="A",I290="G"),MAX(N$1:N289)+1,"")</f>
        <v/>
      </c>
    </row>
    <row r="291" customFormat="false" ht="15" hidden="false" customHeight="false" outlineLevel="0" collapsed="false">
      <c r="A291" s="75" t="n">
        <f aca="false">A290+1</f>
        <v>46585</v>
      </c>
      <c r="B291" s="76" t="n">
        <f aca="false">DATE(YEAR(A291),MONTH(A291),1)</f>
        <v>46569</v>
      </c>
      <c r="C291" s="77" t="n">
        <f aca="false">IF(AND(A291&gt;=Impostazioni!$B$4,A291&lt;=Impostazioni!$B$5),1,0)</f>
        <v>1</v>
      </c>
      <c r="D291" s="77" t="n">
        <f aca="false">IF(COUNTIF(Impostazioni!$A$27:$A$56,A291)&gt;0,1,0)</f>
        <v>0</v>
      </c>
      <c r="E291" s="77" t="n">
        <f aca="false">IF(COUNTIFS(Impostazioni!$A$16:$A$23,"&lt;="&amp;A291,Impostazioni!$B$16:$B$23,"&gt;="&amp;A291)&gt;0,1,0)</f>
        <v>0</v>
      </c>
      <c r="F291" s="77" t="n">
        <f aca="false">IF(AND(C291=1,D291=0,E291=0),1,0)</f>
        <v>1</v>
      </c>
      <c r="G291" s="77" t="n">
        <f aca="false">(YEAR(A291)-YEAR(Impostazioni!$B$11))*12+MONTH(A291)-MONTH(Impostazioni!$B$11)</f>
        <v>9</v>
      </c>
      <c r="H291" s="77" t="n">
        <f aca="false">INT((DAY(A291)-1+WEEKDAY(DATE(YEAR(A291),MONTH(A291),1),2)-1)/7)</f>
        <v>2</v>
      </c>
      <c r="I291" s="77" t="str">
        <f aca="false">IF(G291&gt;11,"",INDEX(Calendario!$A$14:$G$193,4+15*G291+2*H291,WEEKDAY(A291,2))&amp;"")</f>
        <v/>
      </c>
      <c r="J291" s="77" t="n">
        <f aca="false">IF(AND(F291=1,I291="A"),1,0)</f>
        <v>0</v>
      </c>
      <c r="K291" s="77" t="n">
        <f aca="false">IF(AND(F291=1,I291="G"),1,0)</f>
        <v>0</v>
      </c>
      <c r="L291" s="77" t="n">
        <f aca="false">IF(AND(F291=1,A291&gt;=Impostazioni!$B$8),1,0)</f>
        <v>1</v>
      </c>
      <c r="M291" s="77" t="n">
        <f aca="false">IF(C291=0,3,IF(OR(D291=1,E291=1),2,IF(WEEKDAY(A291,2)&gt;5,1,0)))</f>
        <v>1</v>
      </c>
      <c r="N291" s="77" t="str">
        <f aca="false">IF(OR(I291="A",I291="G"),MAX(N$1:N290)+1,"")</f>
        <v/>
      </c>
    </row>
    <row r="292" customFormat="false" ht="15" hidden="false" customHeight="false" outlineLevel="0" collapsed="false">
      <c r="A292" s="75" t="n">
        <f aca="false">A291+1</f>
        <v>46586</v>
      </c>
      <c r="B292" s="76" t="n">
        <f aca="false">DATE(YEAR(A292),MONTH(A292),1)</f>
        <v>46569</v>
      </c>
      <c r="C292" s="77" t="n">
        <f aca="false">IF(AND(A292&gt;=Impostazioni!$B$4,A292&lt;=Impostazioni!$B$5),1,0)</f>
        <v>1</v>
      </c>
      <c r="D292" s="77" t="n">
        <f aca="false">IF(COUNTIF(Impostazioni!$A$27:$A$56,A292)&gt;0,1,0)</f>
        <v>0</v>
      </c>
      <c r="E292" s="77" t="n">
        <f aca="false">IF(COUNTIFS(Impostazioni!$A$16:$A$23,"&lt;="&amp;A292,Impostazioni!$B$16:$B$23,"&gt;="&amp;A292)&gt;0,1,0)</f>
        <v>0</v>
      </c>
      <c r="F292" s="77" t="n">
        <f aca="false">IF(AND(C292=1,D292=0,E292=0),1,0)</f>
        <v>1</v>
      </c>
      <c r="G292" s="77" t="n">
        <f aca="false">(YEAR(A292)-YEAR(Impostazioni!$B$11))*12+MONTH(A292)-MONTH(Impostazioni!$B$11)</f>
        <v>9</v>
      </c>
      <c r="H292" s="77" t="n">
        <f aca="false">INT((DAY(A292)-1+WEEKDAY(DATE(YEAR(A292),MONTH(A292),1),2)-1)/7)</f>
        <v>2</v>
      </c>
      <c r="I292" s="77" t="str">
        <f aca="false">IF(G292&gt;11,"",INDEX(Calendario!$A$14:$G$193,4+15*G292+2*H292,WEEKDAY(A292,2))&amp;"")</f>
        <v/>
      </c>
      <c r="J292" s="77" t="n">
        <f aca="false">IF(AND(F292=1,I292="A"),1,0)</f>
        <v>0</v>
      </c>
      <c r="K292" s="77" t="n">
        <f aca="false">IF(AND(F292=1,I292="G"),1,0)</f>
        <v>0</v>
      </c>
      <c r="L292" s="77" t="n">
        <f aca="false">IF(AND(F292=1,A292&gt;=Impostazioni!$B$8),1,0)</f>
        <v>1</v>
      </c>
      <c r="M292" s="77" t="n">
        <f aca="false">IF(C292=0,3,IF(OR(D292=1,E292=1),2,IF(WEEKDAY(A292,2)&gt;5,1,0)))</f>
        <v>1</v>
      </c>
      <c r="N292" s="77" t="str">
        <f aca="false">IF(OR(I292="A",I292="G"),MAX(N$1:N291)+1,"")</f>
        <v/>
      </c>
    </row>
    <row r="293" customFormat="false" ht="15" hidden="false" customHeight="false" outlineLevel="0" collapsed="false">
      <c r="A293" s="75" t="n">
        <f aca="false">A292+1</f>
        <v>46587</v>
      </c>
      <c r="B293" s="76" t="n">
        <f aca="false">DATE(YEAR(A293),MONTH(A293),1)</f>
        <v>46569</v>
      </c>
      <c r="C293" s="77" t="n">
        <f aca="false">IF(AND(A293&gt;=Impostazioni!$B$4,A293&lt;=Impostazioni!$B$5),1,0)</f>
        <v>1</v>
      </c>
      <c r="D293" s="77" t="n">
        <f aca="false">IF(COUNTIF(Impostazioni!$A$27:$A$56,A293)&gt;0,1,0)</f>
        <v>0</v>
      </c>
      <c r="E293" s="77" t="n">
        <f aca="false">IF(COUNTIFS(Impostazioni!$A$16:$A$23,"&lt;="&amp;A293,Impostazioni!$B$16:$B$23,"&gt;="&amp;A293)&gt;0,1,0)</f>
        <v>0</v>
      </c>
      <c r="F293" s="77" t="n">
        <f aca="false">IF(AND(C293=1,D293=0,E293=0),1,0)</f>
        <v>1</v>
      </c>
      <c r="G293" s="77" t="n">
        <f aca="false">(YEAR(A293)-YEAR(Impostazioni!$B$11))*12+MONTH(A293)-MONTH(Impostazioni!$B$11)</f>
        <v>9</v>
      </c>
      <c r="H293" s="77" t="n">
        <f aca="false">INT((DAY(A293)-1+WEEKDAY(DATE(YEAR(A293),MONTH(A293),1),2)-1)/7)</f>
        <v>3</v>
      </c>
      <c r="I293" s="77" t="str">
        <f aca="false">IF(G293&gt;11,"",INDEX(Calendario!$A$14:$G$193,4+15*G293+2*H293,WEEKDAY(A293,2))&amp;"")</f>
        <v/>
      </c>
      <c r="J293" s="77" t="n">
        <f aca="false">IF(AND(F293=1,I293="A"),1,0)</f>
        <v>0</v>
      </c>
      <c r="K293" s="77" t="n">
        <f aca="false">IF(AND(F293=1,I293="G"),1,0)</f>
        <v>0</v>
      </c>
      <c r="L293" s="77" t="n">
        <f aca="false">IF(AND(F293=1,A293&gt;=Impostazioni!$B$8),1,0)</f>
        <v>1</v>
      </c>
      <c r="M293" s="77" t="n">
        <f aca="false">IF(C293=0,3,IF(OR(D293=1,E293=1),2,IF(WEEKDAY(A293,2)&gt;5,1,0)))</f>
        <v>0</v>
      </c>
      <c r="N293" s="77" t="str">
        <f aca="false">IF(OR(I293="A",I293="G"),MAX(N$1:N292)+1,"")</f>
        <v/>
      </c>
    </row>
    <row r="294" customFormat="false" ht="15" hidden="false" customHeight="false" outlineLevel="0" collapsed="false">
      <c r="A294" s="75" t="n">
        <f aca="false">A293+1</f>
        <v>46588</v>
      </c>
      <c r="B294" s="76" t="n">
        <f aca="false">DATE(YEAR(A294),MONTH(A294),1)</f>
        <v>46569</v>
      </c>
      <c r="C294" s="77" t="n">
        <f aca="false">IF(AND(A294&gt;=Impostazioni!$B$4,A294&lt;=Impostazioni!$B$5),1,0)</f>
        <v>1</v>
      </c>
      <c r="D294" s="77" t="n">
        <f aca="false">IF(COUNTIF(Impostazioni!$A$27:$A$56,A294)&gt;0,1,0)</f>
        <v>0</v>
      </c>
      <c r="E294" s="77" t="n">
        <f aca="false">IF(COUNTIFS(Impostazioni!$A$16:$A$23,"&lt;="&amp;A294,Impostazioni!$B$16:$B$23,"&gt;="&amp;A294)&gt;0,1,0)</f>
        <v>0</v>
      </c>
      <c r="F294" s="77" t="n">
        <f aca="false">IF(AND(C294=1,D294=0,E294=0),1,0)</f>
        <v>1</v>
      </c>
      <c r="G294" s="77" t="n">
        <f aca="false">(YEAR(A294)-YEAR(Impostazioni!$B$11))*12+MONTH(A294)-MONTH(Impostazioni!$B$11)</f>
        <v>9</v>
      </c>
      <c r="H294" s="77" t="n">
        <f aca="false">INT((DAY(A294)-1+WEEKDAY(DATE(YEAR(A294),MONTH(A294),1),2)-1)/7)</f>
        <v>3</v>
      </c>
      <c r="I294" s="77" t="str">
        <f aca="false">IF(G294&gt;11,"",INDEX(Calendario!$A$14:$G$193,4+15*G294+2*H294,WEEKDAY(A294,2))&amp;"")</f>
        <v/>
      </c>
      <c r="J294" s="77" t="n">
        <f aca="false">IF(AND(F294=1,I294="A"),1,0)</f>
        <v>0</v>
      </c>
      <c r="K294" s="77" t="n">
        <f aca="false">IF(AND(F294=1,I294="G"),1,0)</f>
        <v>0</v>
      </c>
      <c r="L294" s="77" t="n">
        <f aca="false">IF(AND(F294=1,A294&gt;=Impostazioni!$B$8),1,0)</f>
        <v>1</v>
      </c>
      <c r="M294" s="77" t="n">
        <f aca="false">IF(C294=0,3,IF(OR(D294=1,E294=1),2,IF(WEEKDAY(A294,2)&gt;5,1,0)))</f>
        <v>0</v>
      </c>
      <c r="N294" s="77" t="str">
        <f aca="false">IF(OR(I294="A",I294="G"),MAX(N$1:N293)+1,"")</f>
        <v/>
      </c>
    </row>
    <row r="295" customFormat="false" ht="15" hidden="false" customHeight="false" outlineLevel="0" collapsed="false">
      <c r="A295" s="75" t="n">
        <f aca="false">A294+1</f>
        <v>46589</v>
      </c>
      <c r="B295" s="76" t="n">
        <f aca="false">DATE(YEAR(A295),MONTH(A295),1)</f>
        <v>46569</v>
      </c>
      <c r="C295" s="77" t="n">
        <f aca="false">IF(AND(A295&gt;=Impostazioni!$B$4,A295&lt;=Impostazioni!$B$5),1,0)</f>
        <v>1</v>
      </c>
      <c r="D295" s="77" t="n">
        <f aca="false">IF(COUNTIF(Impostazioni!$A$27:$A$56,A295)&gt;0,1,0)</f>
        <v>0</v>
      </c>
      <c r="E295" s="77" t="n">
        <f aca="false">IF(COUNTIFS(Impostazioni!$A$16:$A$23,"&lt;="&amp;A295,Impostazioni!$B$16:$B$23,"&gt;="&amp;A295)&gt;0,1,0)</f>
        <v>0</v>
      </c>
      <c r="F295" s="77" t="n">
        <f aca="false">IF(AND(C295=1,D295=0,E295=0),1,0)</f>
        <v>1</v>
      </c>
      <c r="G295" s="77" t="n">
        <f aca="false">(YEAR(A295)-YEAR(Impostazioni!$B$11))*12+MONTH(A295)-MONTH(Impostazioni!$B$11)</f>
        <v>9</v>
      </c>
      <c r="H295" s="77" t="n">
        <f aca="false">INT((DAY(A295)-1+WEEKDAY(DATE(YEAR(A295),MONTH(A295),1),2)-1)/7)</f>
        <v>3</v>
      </c>
      <c r="I295" s="77" t="str">
        <f aca="false">IF(G295&gt;11,"",INDEX(Calendario!$A$14:$G$193,4+15*G295+2*H295,WEEKDAY(A295,2))&amp;"")</f>
        <v/>
      </c>
      <c r="J295" s="77" t="n">
        <f aca="false">IF(AND(F295=1,I295="A"),1,0)</f>
        <v>0</v>
      </c>
      <c r="K295" s="77" t="n">
        <f aca="false">IF(AND(F295=1,I295="G"),1,0)</f>
        <v>0</v>
      </c>
      <c r="L295" s="77" t="n">
        <f aca="false">IF(AND(F295=1,A295&gt;=Impostazioni!$B$8),1,0)</f>
        <v>1</v>
      </c>
      <c r="M295" s="77" t="n">
        <f aca="false">IF(C295=0,3,IF(OR(D295=1,E295=1),2,IF(WEEKDAY(A295,2)&gt;5,1,0)))</f>
        <v>0</v>
      </c>
      <c r="N295" s="77" t="str">
        <f aca="false">IF(OR(I295="A",I295="G"),MAX(N$1:N294)+1,"")</f>
        <v/>
      </c>
    </row>
    <row r="296" customFormat="false" ht="15" hidden="false" customHeight="false" outlineLevel="0" collapsed="false">
      <c r="A296" s="75" t="n">
        <f aca="false">A295+1</f>
        <v>46590</v>
      </c>
      <c r="B296" s="76" t="n">
        <f aca="false">DATE(YEAR(A296),MONTH(A296),1)</f>
        <v>46569</v>
      </c>
      <c r="C296" s="77" t="n">
        <f aca="false">IF(AND(A296&gt;=Impostazioni!$B$4,A296&lt;=Impostazioni!$B$5),1,0)</f>
        <v>1</v>
      </c>
      <c r="D296" s="77" t="n">
        <f aca="false">IF(COUNTIF(Impostazioni!$A$27:$A$56,A296)&gt;0,1,0)</f>
        <v>0</v>
      </c>
      <c r="E296" s="77" t="n">
        <f aca="false">IF(COUNTIFS(Impostazioni!$A$16:$A$23,"&lt;="&amp;A296,Impostazioni!$B$16:$B$23,"&gt;="&amp;A296)&gt;0,1,0)</f>
        <v>0</v>
      </c>
      <c r="F296" s="77" t="n">
        <f aca="false">IF(AND(C296=1,D296=0,E296=0),1,0)</f>
        <v>1</v>
      </c>
      <c r="G296" s="77" t="n">
        <f aca="false">(YEAR(A296)-YEAR(Impostazioni!$B$11))*12+MONTH(A296)-MONTH(Impostazioni!$B$11)</f>
        <v>9</v>
      </c>
      <c r="H296" s="77" t="n">
        <f aca="false">INT((DAY(A296)-1+WEEKDAY(DATE(YEAR(A296),MONTH(A296),1),2)-1)/7)</f>
        <v>3</v>
      </c>
      <c r="I296" s="77" t="str">
        <f aca="false">IF(G296&gt;11,"",INDEX(Calendario!$A$14:$G$193,4+15*G296+2*H296,WEEKDAY(A296,2))&amp;"")</f>
        <v/>
      </c>
      <c r="J296" s="77" t="n">
        <f aca="false">IF(AND(F296=1,I296="A"),1,0)</f>
        <v>0</v>
      </c>
      <c r="K296" s="77" t="n">
        <f aca="false">IF(AND(F296=1,I296="G"),1,0)</f>
        <v>0</v>
      </c>
      <c r="L296" s="77" t="n">
        <f aca="false">IF(AND(F296=1,A296&gt;=Impostazioni!$B$8),1,0)</f>
        <v>1</v>
      </c>
      <c r="M296" s="77" t="n">
        <f aca="false">IF(C296=0,3,IF(OR(D296=1,E296=1),2,IF(WEEKDAY(A296,2)&gt;5,1,0)))</f>
        <v>0</v>
      </c>
      <c r="N296" s="77" t="str">
        <f aca="false">IF(OR(I296="A",I296="G"),MAX(N$1:N295)+1,"")</f>
        <v/>
      </c>
    </row>
    <row r="297" customFormat="false" ht="15" hidden="false" customHeight="false" outlineLevel="0" collapsed="false">
      <c r="A297" s="75" t="n">
        <f aca="false">A296+1</f>
        <v>46591</v>
      </c>
      <c r="B297" s="76" t="n">
        <f aca="false">DATE(YEAR(A297),MONTH(A297),1)</f>
        <v>46569</v>
      </c>
      <c r="C297" s="77" t="n">
        <f aca="false">IF(AND(A297&gt;=Impostazioni!$B$4,A297&lt;=Impostazioni!$B$5),1,0)</f>
        <v>1</v>
      </c>
      <c r="D297" s="77" t="n">
        <f aca="false">IF(COUNTIF(Impostazioni!$A$27:$A$56,A297)&gt;0,1,0)</f>
        <v>0</v>
      </c>
      <c r="E297" s="77" t="n">
        <f aca="false">IF(COUNTIFS(Impostazioni!$A$16:$A$23,"&lt;="&amp;A297,Impostazioni!$B$16:$B$23,"&gt;="&amp;A297)&gt;0,1,0)</f>
        <v>0</v>
      </c>
      <c r="F297" s="77" t="n">
        <f aca="false">IF(AND(C297=1,D297=0,E297=0),1,0)</f>
        <v>1</v>
      </c>
      <c r="G297" s="77" t="n">
        <f aca="false">(YEAR(A297)-YEAR(Impostazioni!$B$11))*12+MONTH(A297)-MONTH(Impostazioni!$B$11)</f>
        <v>9</v>
      </c>
      <c r="H297" s="77" t="n">
        <f aca="false">INT((DAY(A297)-1+WEEKDAY(DATE(YEAR(A297),MONTH(A297),1),2)-1)/7)</f>
        <v>3</v>
      </c>
      <c r="I297" s="77" t="str">
        <f aca="false">IF(G297&gt;11,"",INDEX(Calendario!$A$14:$G$193,4+15*G297+2*H297,WEEKDAY(A297,2))&amp;"")</f>
        <v/>
      </c>
      <c r="J297" s="77" t="n">
        <f aca="false">IF(AND(F297=1,I297="A"),1,0)</f>
        <v>0</v>
      </c>
      <c r="K297" s="77" t="n">
        <f aca="false">IF(AND(F297=1,I297="G"),1,0)</f>
        <v>0</v>
      </c>
      <c r="L297" s="77" t="n">
        <f aca="false">IF(AND(F297=1,A297&gt;=Impostazioni!$B$8),1,0)</f>
        <v>1</v>
      </c>
      <c r="M297" s="77" t="n">
        <f aca="false">IF(C297=0,3,IF(OR(D297=1,E297=1),2,IF(WEEKDAY(A297,2)&gt;5,1,0)))</f>
        <v>0</v>
      </c>
      <c r="N297" s="77" t="str">
        <f aca="false">IF(OR(I297="A",I297="G"),MAX(N$1:N296)+1,"")</f>
        <v/>
      </c>
    </row>
    <row r="298" customFormat="false" ht="15" hidden="false" customHeight="false" outlineLevel="0" collapsed="false">
      <c r="A298" s="75" t="n">
        <f aca="false">A297+1</f>
        <v>46592</v>
      </c>
      <c r="B298" s="76" t="n">
        <f aca="false">DATE(YEAR(A298),MONTH(A298),1)</f>
        <v>46569</v>
      </c>
      <c r="C298" s="77" t="n">
        <f aca="false">IF(AND(A298&gt;=Impostazioni!$B$4,A298&lt;=Impostazioni!$B$5),1,0)</f>
        <v>1</v>
      </c>
      <c r="D298" s="77" t="n">
        <f aca="false">IF(COUNTIF(Impostazioni!$A$27:$A$56,A298)&gt;0,1,0)</f>
        <v>0</v>
      </c>
      <c r="E298" s="77" t="n">
        <f aca="false">IF(COUNTIFS(Impostazioni!$A$16:$A$23,"&lt;="&amp;A298,Impostazioni!$B$16:$B$23,"&gt;="&amp;A298)&gt;0,1,0)</f>
        <v>0</v>
      </c>
      <c r="F298" s="77" t="n">
        <f aca="false">IF(AND(C298=1,D298=0,E298=0),1,0)</f>
        <v>1</v>
      </c>
      <c r="G298" s="77" t="n">
        <f aca="false">(YEAR(A298)-YEAR(Impostazioni!$B$11))*12+MONTH(A298)-MONTH(Impostazioni!$B$11)</f>
        <v>9</v>
      </c>
      <c r="H298" s="77" t="n">
        <f aca="false">INT((DAY(A298)-1+WEEKDAY(DATE(YEAR(A298),MONTH(A298),1),2)-1)/7)</f>
        <v>3</v>
      </c>
      <c r="I298" s="77" t="str">
        <f aca="false">IF(G298&gt;11,"",INDEX(Calendario!$A$14:$G$193,4+15*G298+2*H298,WEEKDAY(A298,2))&amp;"")</f>
        <v/>
      </c>
      <c r="J298" s="77" t="n">
        <f aca="false">IF(AND(F298=1,I298="A"),1,0)</f>
        <v>0</v>
      </c>
      <c r="K298" s="77" t="n">
        <f aca="false">IF(AND(F298=1,I298="G"),1,0)</f>
        <v>0</v>
      </c>
      <c r="L298" s="77" t="n">
        <f aca="false">IF(AND(F298=1,A298&gt;=Impostazioni!$B$8),1,0)</f>
        <v>1</v>
      </c>
      <c r="M298" s="77" t="n">
        <f aca="false">IF(C298=0,3,IF(OR(D298=1,E298=1),2,IF(WEEKDAY(A298,2)&gt;5,1,0)))</f>
        <v>1</v>
      </c>
      <c r="N298" s="77" t="str">
        <f aca="false">IF(OR(I298="A",I298="G"),MAX(N$1:N297)+1,"")</f>
        <v/>
      </c>
    </row>
    <row r="299" customFormat="false" ht="15" hidden="false" customHeight="false" outlineLevel="0" collapsed="false">
      <c r="A299" s="75" t="n">
        <f aca="false">A298+1</f>
        <v>46593</v>
      </c>
      <c r="B299" s="76" t="n">
        <f aca="false">DATE(YEAR(A299),MONTH(A299),1)</f>
        <v>46569</v>
      </c>
      <c r="C299" s="77" t="n">
        <f aca="false">IF(AND(A299&gt;=Impostazioni!$B$4,A299&lt;=Impostazioni!$B$5),1,0)</f>
        <v>1</v>
      </c>
      <c r="D299" s="77" t="n">
        <f aca="false">IF(COUNTIF(Impostazioni!$A$27:$A$56,A299)&gt;0,1,0)</f>
        <v>0</v>
      </c>
      <c r="E299" s="77" t="n">
        <f aca="false">IF(COUNTIFS(Impostazioni!$A$16:$A$23,"&lt;="&amp;A299,Impostazioni!$B$16:$B$23,"&gt;="&amp;A299)&gt;0,1,0)</f>
        <v>0</v>
      </c>
      <c r="F299" s="77" t="n">
        <f aca="false">IF(AND(C299=1,D299=0,E299=0),1,0)</f>
        <v>1</v>
      </c>
      <c r="G299" s="77" t="n">
        <f aca="false">(YEAR(A299)-YEAR(Impostazioni!$B$11))*12+MONTH(A299)-MONTH(Impostazioni!$B$11)</f>
        <v>9</v>
      </c>
      <c r="H299" s="77" t="n">
        <f aca="false">INT((DAY(A299)-1+WEEKDAY(DATE(YEAR(A299),MONTH(A299),1),2)-1)/7)</f>
        <v>3</v>
      </c>
      <c r="I299" s="77" t="str">
        <f aca="false">IF(G299&gt;11,"",INDEX(Calendario!$A$14:$G$193,4+15*G299+2*H299,WEEKDAY(A299,2))&amp;"")</f>
        <v/>
      </c>
      <c r="J299" s="77" t="n">
        <f aca="false">IF(AND(F299=1,I299="A"),1,0)</f>
        <v>0</v>
      </c>
      <c r="K299" s="77" t="n">
        <f aca="false">IF(AND(F299=1,I299="G"),1,0)</f>
        <v>0</v>
      </c>
      <c r="L299" s="77" t="n">
        <f aca="false">IF(AND(F299=1,A299&gt;=Impostazioni!$B$8),1,0)</f>
        <v>1</v>
      </c>
      <c r="M299" s="77" t="n">
        <f aca="false">IF(C299=0,3,IF(OR(D299=1,E299=1),2,IF(WEEKDAY(A299,2)&gt;5,1,0)))</f>
        <v>1</v>
      </c>
      <c r="N299" s="77" t="str">
        <f aca="false">IF(OR(I299="A",I299="G"),MAX(N$1:N298)+1,"")</f>
        <v/>
      </c>
    </row>
    <row r="300" customFormat="false" ht="15" hidden="false" customHeight="false" outlineLevel="0" collapsed="false">
      <c r="A300" s="75" t="n">
        <f aca="false">A299+1</f>
        <v>46594</v>
      </c>
      <c r="B300" s="76" t="n">
        <f aca="false">DATE(YEAR(A300),MONTH(A300),1)</f>
        <v>46569</v>
      </c>
      <c r="C300" s="77" t="n">
        <f aca="false">IF(AND(A300&gt;=Impostazioni!$B$4,A300&lt;=Impostazioni!$B$5),1,0)</f>
        <v>1</v>
      </c>
      <c r="D300" s="77" t="n">
        <f aca="false">IF(COUNTIF(Impostazioni!$A$27:$A$56,A300)&gt;0,1,0)</f>
        <v>0</v>
      </c>
      <c r="E300" s="77" t="n">
        <f aca="false">IF(COUNTIFS(Impostazioni!$A$16:$A$23,"&lt;="&amp;A300,Impostazioni!$B$16:$B$23,"&gt;="&amp;A300)&gt;0,1,0)</f>
        <v>0</v>
      </c>
      <c r="F300" s="77" t="n">
        <f aca="false">IF(AND(C300=1,D300=0,E300=0),1,0)</f>
        <v>1</v>
      </c>
      <c r="G300" s="77" t="n">
        <f aca="false">(YEAR(A300)-YEAR(Impostazioni!$B$11))*12+MONTH(A300)-MONTH(Impostazioni!$B$11)</f>
        <v>9</v>
      </c>
      <c r="H300" s="77" t="n">
        <f aca="false">INT((DAY(A300)-1+WEEKDAY(DATE(YEAR(A300),MONTH(A300),1),2)-1)/7)</f>
        <v>4</v>
      </c>
      <c r="I300" s="77" t="str">
        <f aca="false">IF(G300&gt;11,"",INDEX(Calendario!$A$14:$G$193,4+15*G300+2*H300,WEEKDAY(A300,2))&amp;"")</f>
        <v/>
      </c>
      <c r="J300" s="77" t="n">
        <f aca="false">IF(AND(F300=1,I300="A"),1,0)</f>
        <v>0</v>
      </c>
      <c r="K300" s="77" t="n">
        <f aca="false">IF(AND(F300=1,I300="G"),1,0)</f>
        <v>0</v>
      </c>
      <c r="L300" s="77" t="n">
        <f aca="false">IF(AND(F300=1,A300&gt;=Impostazioni!$B$8),1,0)</f>
        <v>1</v>
      </c>
      <c r="M300" s="77" t="n">
        <f aca="false">IF(C300=0,3,IF(OR(D300=1,E300=1),2,IF(WEEKDAY(A300,2)&gt;5,1,0)))</f>
        <v>0</v>
      </c>
      <c r="N300" s="77" t="str">
        <f aca="false">IF(OR(I300="A",I300="G"),MAX(N$1:N299)+1,"")</f>
        <v/>
      </c>
    </row>
    <row r="301" customFormat="false" ht="15" hidden="false" customHeight="false" outlineLevel="0" collapsed="false">
      <c r="A301" s="75" t="n">
        <f aca="false">A300+1</f>
        <v>46595</v>
      </c>
      <c r="B301" s="76" t="n">
        <f aca="false">DATE(YEAR(A301),MONTH(A301),1)</f>
        <v>46569</v>
      </c>
      <c r="C301" s="77" t="n">
        <f aca="false">IF(AND(A301&gt;=Impostazioni!$B$4,A301&lt;=Impostazioni!$B$5),1,0)</f>
        <v>1</v>
      </c>
      <c r="D301" s="77" t="n">
        <f aca="false">IF(COUNTIF(Impostazioni!$A$27:$A$56,A301)&gt;0,1,0)</f>
        <v>0</v>
      </c>
      <c r="E301" s="77" t="n">
        <f aca="false">IF(COUNTIFS(Impostazioni!$A$16:$A$23,"&lt;="&amp;A301,Impostazioni!$B$16:$B$23,"&gt;="&amp;A301)&gt;0,1,0)</f>
        <v>0</v>
      </c>
      <c r="F301" s="77" t="n">
        <f aca="false">IF(AND(C301=1,D301=0,E301=0),1,0)</f>
        <v>1</v>
      </c>
      <c r="G301" s="77" t="n">
        <f aca="false">(YEAR(A301)-YEAR(Impostazioni!$B$11))*12+MONTH(A301)-MONTH(Impostazioni!$B$11)</f>
        <v>9</v>
      </c>
      <c r="H301" s="77" t="n">
        <f aca="false">INT((DAY(A301)-1+WEEKDAY(DATE(YEAR(A301),MONTH(A301),1),2)-1)/7)</f>
        <v>4</v>
      </c>
      <c r="I301" s="77" t="str">
        <f aca="false">IF(G301&gt;11,"",INDEX(Calendario!$A$14:$G$193,4+15*G301+2*H301,WEEKDAY(A301,2))&amp;"")</f>
        <v/>
      </c>
      <c r="J301" s="77" t="n">
        <f aca="false">IF(AND(F301=1,I301="A"),1,0)</f>
        <v>0</v>
      </c>
      <c r="K301" s="77" t="n">
        <f aca="false">IF(AND(F301=1,I301="G"),1,0)</f>
        <v>0</v>
      </c>
      <c r="L301" s="77" t="n">
        <f aca="false">IF(AND(F301=1,A301&gt;=Impostazioni!$B$8),1,0)</f>
        <v>1</v>
      </c>
      <c r="M301" s="77" t="n">
        <f aca="false">IF(C301=0,3,IF(OR(D301=1,E301=1),2,IF(WEEKDAY(A301,2)&gt;5,1,0)))</f>
        <v>0</v>
      </c>
      <c r="N301" s="77" t="str">
        <f aca="false">IF(OR(I301="A",I301="G"),MAX(N$1:N300)+1,"")</f>
        <v/>
      </c>
    </row>
    <row r="302" customFormat="false" ht="15" hidden="false" customHeight="false" outlineLevel="0" collapsed="false">
      <c r="A302" s="75" t="n">
        <f aca="false">A301+1</f>
        <v>46596</v>
      </c>
      <c r="B302" s="76" t="n">
        <f aca="false">DATE(YEAR(A302),MONTH(A302),1)</f>
        <v>46569</v>
      </c>
      <c r="C302" s="77" t="n">
        <f aca="false">IF(AND(A302&gt;=Impostazioni!$B$4,A302&lt;=Impostazioni!$B$5),1,0)</f>
        <v>1</v>
      </c>
      <c r="D302" s="77" t="n">
        <f aca="false">IF(COUNTIF(Impostazioni!$A$27:$A$56,A302)&gt;0,1,0)</f>
        <v>0</v>
      </c>
      <c r="E302" s="77" t="n">
        <f aca="false">IF(COUNTIFS(Impostazioni!$A$16:$A$23,"&lt;="&amp;A302,Impostazioni!$B$16:$B$23,"&gt;="&amp;A302)&gt;0,1,0)</f>
        <v>0</v>
      </c>
      <c r="F302" s="77" t="n">
        <f aca="false">IF(AND(C302=1,D302=0,E302=0),1,0)</f>
        <v>1</v>
      </c>
      <c r="G302" s="77" t="n">
        <f aca="false">(YEAR(A302)-YEAR(Impostazioni!$B$11))*12+MONTH(A302)-MONTH(Impostazioni!$B$11)</f>
        <v>9</v>
      </c>
      <c r="H302" s="77" t="n">
        <f aca="false">INT((DAY(A302)-1+WEEKDAY(DATE(YEAR(A302),MONTH(A302),1),2)-1)/7)</f>
        <v>4</v>
      </c>
      <c r="I302" s="77" t="str">
        <f aca="false">IF(G302&gt;11,"",INDEX(Calendario!$A$14:$G$193,4+15*G302+2*H302,WEEKDAY(A302,2))&amp;"")</f>
        <v/>
      </c>
      <c r="J302" s="77" t="n">
        <f aca="false">IF(AND(F302=1,I302="A"),1,0)</f>
        <v>0</v>
      </c>
      <c r="K302" s="77" t="n">
        <f aca="false">IF(AND(F302=1,I302="G"),1,0)</f>
        <v>0</v>
      </c>
      <c r="L302" s="77" t="n">
        <f aca="false">IF(AND(F302=1,A302&gt;=Impostazioni!$B$8),1,0)</f>
        <v>1</v>
      </c>
      <c r="M302" s="77" t="n">
        <f aca="false">IF(C302=0,3,IF(OR(D302=1,E302=1),2,IF(WEEKDAY(A302,2)&gt;5,1,0)))</f>
        <v>0</v>
      </c>
      <c r="N302" s="77" t="str">
        <f aca="false">IF(OR(I302="A",I302="G"),MAX(N$1:N301)+1,"")</f>
        <v/>
      </c>
    </row>
    <row r="303" customFormat="false" ht="15" hidden="false" customHeight="false" outlineLevel="0" collapsed="false">
      <c r="A303" s="75" t="n">
        <f aca="false">A302+1</f>
        <v>46597</v>
      </c>
      <c r="B303" s="76" t="n">
        <f aca="false">DATE(YEAR(A303),MONTH(A303),1)</f>
        <v>46569</v>
      </c>
      <c r="C303" s="77" t="n">
        <f aca="false">IF(AND(A303&gt;=Impostazioni!$B$4,A303&lt;=Impostazioni!$B$5),1,0)</f>
        <v>1</v>
      </c>
      <c r="D303" s="77" t="n">
        <f aca="false">IF(COUNTIF(Impostazioni!$A$27:$A$56,A303)&gt;0,1,0)</f>
        <v>0</v>
      </c>
      <c r="E303" s="77" t="n">
        <f aca="false">IF(COUNTIFS(Impostazioni!$A$16:$A$23,"&lt;="&amp;A303,Impostazioni!$B$16:$B$23,"&gt;="&amp;A303)&gt;0,1,0)</f>
        <v>0</v>
      </c>
      <c r="F303" s="77" t="n">
        <f aca="false">IF(AND(C303=1,D303=0,E303=0),1,0)</f>
        <v>1</v>
      </c>
      <c r="G303" s="77" t="n">
        <f aca="false">(YEAR(A303)-YEAR(Impostazioni!$B$11))*12+MONTH(A303)-MONTH(Impostazioni!$B$11)</f>
        <v>9</v>
      </c>
      <c r="H303" s="77" t="n">
        <f aca="false">INT((DAY(A303)-1+WEEKDAY(DATE(YEAR(A303),MONTH(A303),1),2)-1)/7)</f>
        <v>4</v>
      </c>
      <c r="I303" s="77" t="str">
        <f aca="false">IF(G303&gt;11,"",INDEX(Calendario!$A$14:$G$193,4+15*G303+2*H303,WEEKDAY(A303,2))&amp;"")</f>
        <v/>
      </c>
      <c r="J303" s="77" t="n">
        <f aca="false">IF(AND(F303=1,I303="A"),1,0)</f>
        <v>0</v>
      </c>
      <c r="K303" s="77" t="n">
        <f aca="false">IF(AND(F303=1,I303="G"),1,0)</f>
        <v>0</v>
      </c>
      <c r="L303" s="77" t="n">
        <f aca="false">IF(AND(F303=1,A303&gt;=Impostazioni!$B$8),1,0)</f>
        <v>1</v>
      </c>
      <c r="M303" s="77" t="n">
        <f aca="false">IF(C303=0,3,IF(OR(D303=1,E303=1),2,IF(WEEKDAY(A303,2)&gt;5,1,0)))</f>
        <v>0</v>
      </c>
      <c r="N303" s="77" t="str">
        <f aca="false">IF(OR(I303="A",I303="G"),MAX(N$1:N302)+1,"")</f>
        <v/>
      </c>
    </row>
    <row r="304" customFormat="false" ht="15" hidden="false" customHeight="false" outlineLevel="0" collapsed="false">
      <c r="A304" s="75" t="n">
        <f aca="false">A303+1</f>
        <v>46598</v>
      </c>
      <c r="B304" s="76" t="n">
        <f aca="false">DATE(YEAR(A304),MONTH(A304),1)</f>
        <v>46569</v>
      </c>
      <c r="C304" s="77" t="n">
        <f aca="false">IF(AND(A304&gt;=Impostazioni!$B$4,A304&lt;=Impostazioni!$B$5),1,0)</f>
        <v>1</v>
      </c>
      <c r="D304" s="77" t="n">
        <f aca="false">IF(COUNTIF(Impostazioni!$A$27:$A$56,A304)&gt;0,1,0)</f>
        <v>0</v>
      </c>
      <c r="E304" s="77" t="n">
        <f aca="false">IF(COUNTIFS(Impostazioni!$A$16:$A$23,"&lt;="&amp;A304,Impostazioni!$B$16:$B$23,"&gt;="&amp;A304)&gt;0,1,0)</f>
        <v>0</v>
      </c>
      <c r="F304" s="77" t="n">
        <f aca="false">IF(AND(C304=1,D304=0,E304=0),1,0)</f>
        <v>1</v>
      </c>
      <c r="G304" s="77" t="n">
        <f aca="false">(YEAR(A304)-YEAR(Impostazioni!$B$11))*12+MONTH(A304)-MONTH(Impostazioni!$B$11)</f>
        <v>9</v>
      </c>
      <c r="H304" s="77" t="n">
        <f aca="false">INT((DAY(A304)-1+WEEKDAY(DATE(YEAR(A304),MONTH(A304),1),2)-1)/7)</f>
        <v>4</v>
      </c>
      <c r="I304" s="77" t="str">
        <f aca="false">IF(G304&gt;11,"",INDEX(Calendario!$A$14:$G$193,4+15*G304+2*H304,WEEKDAY(A304,2))&amp;"")</f>
        <v/>
      </c>
      <c r="J304" s="77" t="n">
        <f aca="false">IF(AND(F304=1,I304="A"),1,0)</f>
        <v>0</v>
      </c>
      <c r="K304" s="77" t="n">
        <f aca="false">IF(AND(F304=1,I304="G"),1,0)</f>
        <v>0</v>
      </c>
      <c r="L304" s="77" t="n">
        <f aca="false">IF(AND(F304=1,A304&gt;=Impostazioni!$B$8),1,0)</f>
        <v>1</v>
      </c>
      <c r="M304" s="77" t="n">
        <f aca="false">IF(C304=0,3,IF(OR(D304=1,E304=1),2,IF(WEEKDAY(A304,2)&gt;5,1,0)))</f>
        <v>0</v>
      </c>
      <c r="N304" s="77" t="str">
        <f aca="false">IF(OR(I304="A",I304="G"),MAX(N$1:N303)+1,"")</f>
        <v/>
      </c>
    </row>
    <row r="305" customFormat="false" ht="15" hidden="false" customHeight="false" outlineLevel="0" collapsed="false">
      <c r="A305" s="75" t="n">
        <f aca="false">A304+1</f>
        <v>46599</v>
      </c>
      <c r="B305" s="76" t="n">
        <f aca="false">DATE(YEAR(A305),MONTH(A305),1)</f>
        <v>46569</v>
      </c>
      <c r="C305" s="77" t="n">
        <f aca="false">IF(AND(A305&gt;=Impostazioni!$B$4,A305&lt;=Impostazioni!$B$5),1,0)</f>
        <v>1</v>
      </c>
      <c r="D305" s="77" t="n">
        <f aca="false">IF(COUNTIF(Impostazioni!$A$27:$A$56,A305)&gt;0,1,0)</f>
        <v>0</v>
      </c>
      <c r="E305" s="77" t="n">
        <f aca="false">IF(COUNTIFS(Impostazioni!$A$16:$A$23,"&lt;="&amp;A305,Impostazioni!$B$16:$B$23,"&gt;="&amp;A305)&gt;0,1,0)</f>
        <v>0</v>
      </c>
      <c r="F305" s="77" t="n">
        <f aca="false">IF(AND(C305=1,D305=0,E305=0),1,0)</f>
        <v>1</v>
      </c>
      <c r="G305" s="77" t="n">
        <f aca="false">(YEAR(A305)-YEAR(Impostazioni!$B$11))*12+MONTH(A305)-MONTH(Impostazioni!$B$11)</f>
        <v>9</v>
      </c>
      <c r="H305" s="77" t="n">
        <f aca="false">INT((DAY(A305)-1+WEEKDAY(DATE(YEAR(A305),MONTH(A305),1),2)-1)/7)</f>
        <v>4</v>
      </c>
      <c r="I305" s="77" t="str">
        <f aca="false">IF(G305&gt;11,"",INDEX(Calendario!$A$14:$G$193,4+15*G305+2*H305,WEEKDAY(A305,2))&amp;"")</f>
        <v/>
      </c>
      <c r="J305" s="77" t="n">
        <f aca="false">IF(AND(F305=1,I305="A"),1,0)</f>
        <v>0</v>
      </c>
      <c r="K305" s="77" t="n">
        <f aca="false">IF(AND(F305=1,I305="G"),1,0)</f>
        <v>0</v>
      </c>
      <c r="L305" s="77" t="n">
        <f aca="false">IF(AND(F305=1,A305&gt;=Impostazioni!$B$8),1,0)</f>
        <v>1</v>
      </c>
      <c r="M305" s="77" t="n">
        <f aca="false">IF(C305=0,3,IF(OR(D305=1,E305=1),2,IF(WEEKDAY(A305,2)&gt;5,1,0)))</f>
        <v>1</v>
      </c>
      <c r="N305" s="77" t="str">
        <f aca="false">IF(OR(I305="A",I305="G"),MAX(N$1:N304)+1,"")</f>
        <v/>
      </c>
    </row>
    <row r="306" customFormat="false" ht="15" hidden="false" customHeight="false" outlineLevel="0" collapsed="false">
      <c r="A306" s="75" t="n">
        <f aca="false">A305+1</f>
        <v>46600</v>
      </c>
      <c r="B306" s="76" t="n">
        <f aca="false">DATE(YEAR(A306),MONTH(A306),1)</f>
        <v>46600</v>
      </c>
      <c r="C306" s="77" t="n">
        <f aca="false">IF(AND(A306&gt;=Impostazioni!$B$4,A306&lt;=Impostazioni!$B$5),1,0)</f>
        <v>1</v>
      </c>
      <c r="D306" s="77" t="n">
        <f aca="false">IF(COUNTIF(Impostazioni!$A$27:$A$56,A306)&gt;0,1,0)</f>
        <v>0</v>
      </c>
      <c r="E306" s="77" t="n">
        <f aca="false">IF(COUNTIFS(Impostazioni!$A$16:$A$23,"&lt;="&amp;A306,Impostazioni!$B$16:$B$23,"&gt;="&amp;A306)&gt;0,1,0)</f>
        <v>1</v>
      </c>
      <c r="F306" s="77" t="n">
        <f aca="false">IF(AND(C306=1,D306=0,E306=0),1,0)</f>
        <v>0</v>
      </c>
      <c r="G306" s="77" t="n">
        <f aca="false">(YEAR(A306)-YEAR(Impostazioni!$B$11))*12+MONTH(A306)-MONTH(Impostazioni!$B$11)</f>
        <v>10</v>
      </c>
      <c r="H306" s="77" t="n">
        <f aca="false">INT((DAY(A306)-1+WEEKDAY(DATE(YEAR(A306),MONTH(A306),1),2)-1)/7)</f>
        <v>0</v>
      </c>
      <c r="I306" s="77" t="str">
        <f aca="false">IF(G306&gt;11,"",INDEX(Calendario!$A$14:$G$193,4+15*G306+2*H306,WEEKDAY(A306,2))&amp;"")</f>
        <v/>
      </c>
      <c r="J306" s="77" t="n">
        <f aca="false">IF(AND(F306=1,I306="A"),1,0)</f>
        <v>0</v>
      </c>
      <c r="K306" s="77" t="n">
        <f aca="false">IF(AND(F306=1,I306="G"),1,0)</f>
        <v>0</v>
      </c>
      <c r="L306" s="77" t="n">
        <f aca="false">IF(AND(F306=1,A306&gt;=Impostazioni!$B$8),1,0)</f>
        <v>0</v>
      </c>
      <c r="M306" s="77" t="n">
        <f aca="false">IF(C306=0,3,IF(OR(D306=1,E306=1),2,IF(WEEKDAY(A306,2)&gt;5,1,0)))</f>
        <v>2</v>
      </c>
      <c r="N306" s="77" t="str">
        <f aca="false">IF(OR(I306="A",I306="G"),MAX(N$1:N305)+1,"")</f>
        <v/>
      </c>
    </row>
    <row r="307" customFormat="false" ht="15" hidden="false" customHeight="false" outlineLevel="0" collapsed="false">
      <c r="A307" s="75" t="n">
        <f aca="false">A306+1</f>
        <v>46601</v>
      </c>
      <c r="B307" s="76" t="n">
        <f aca="false">DATE(YEAR(A307),MONTH(A307),1)</f>
        <v>46600</v>
      </c>
      <c r="C307" s="77" t="n">
        <f aca="false">IF(AND(A307&gt;=Impostazioni!$B$4,A307&lt;=Impostazioni!$B$5),1,0)</f>
        <v>1</v>
      </c>
      <c r="D307" s="77" t="n">
        <f aca="false">IF(COUNTIF(Impostazioni!$A$27:$A$56,A307)&gt;0,1,0)</f>
        <v>0</v>
      </c>
      <c r="E307" s="77" t="n">
        <f aca="false">IF(COUNTIFS(Impostazioni!$A$16:$A$23,"&lt;="&amp;A307,Impostazioni!$B$16:$B$23,"&gt;="&amp;A307)&gt;0,1,0)</f>
        <v>1</v>
      </c>
      <c r="F307" s="77" t="n">
        <f aca="false">IF(AND(C307=1,D307=0,E307=0),1,0)</f>
        <v>0</v>
      </c>
      <c r="G307" s="77" t="n">
        <f aca="false">(YEAR(A307)-YEAR(Impostazioni!$B$11))*12+MONTH(A307)-MONTH(Impostazioni!$B$11)</f>
        <v>10</v>
      </c>
      <c r="H307" s="77" t="n">
        <f aca="false">INT((DAY(A307)-1+WEEKDAY(DATE(YEAR(A307),MONTH(A307),1),2)-1)/7)</f>
        <v>1</v>
      </c>
      <c r="I307" s="77" t="str">
        <f aca="false">IF(G307&gt;11,"",INDEX(Calendario!$A$14:$G$193,4+15*G307+2*H307,WEEKDAY(A307,2))&amp;"")</f>
        <v/>
      </c>
      <c r="J307" s="77" t="n">
        <f aca="false">IF(AND(F307=1,I307="A"),1,0)</f>
        <v>0</v>
      </c>
      <c r="K307" s="77" t="n">
        <f aca="false">IF(AND(F307=1,I307="G"),1,0)</f>
        <v>0</v>
      </c>
      <c r="L307" s="77" t="n">
        <f aca="false">IF(AND(F307=1,A307&gt;=Impostazioni!$B$8),1,0)</f>
        <v>0</v>
      </c>
      <c r="M307" s="77" t="n">
        <f aca="false">IF(C307=0,3,IF(OR(D307=1,E307=1),2,IF(WEEKDAY(A307,2)&gt;5,1,0)))</f>
        <v>2</v>
      </c>
      <c r="N307" s="77" t="str">
        <f aca="false">IF(OR(I307="A",I307="G"),MAX(N$1:N306)+1,"")</f>
        <v/>
      </c>
    </row>
    <row r="308" customFormat="false" ht="15" hidden="false" customHeight="false" outlineLevel="0" collapsed="false">
      <c r="A308" s="75" t="n">
        <f aca="false">A307+1</f>
        <v>46602</v>
      </c>
      <c r="B308" s="76" t="n">
        <f aca="false">DATE(YEAR(A308),MONTH(A308),1)</f>
        <v>46600</v>
      </c>
      <c r="C308" s="77" t="n">
        <f aca="false">IF(AND(A308&gt;=Impostazioni!$B$4,A308&lt;=Impostazioni!$B$5),1,0)</f>
        <v>1</v>
      </c>
      <c r="D308" s="77" t="n">
        <f aca="false">IF(COUNTIF(Impostazioni!$A$27:$A$56,A308)&gt;0,1,0)</f>
        <v>0</v>
      </c>
      <c r="E308" s="77" t="n">
        <f aca="false">IF(COUNTIFS(Impostazioni!$A$16:$A$23,"&lt;="&amp;A308,Impostazioni!$B$16:$B$23,"&gt;="&amp;A308)&gt;0,1,0)</f>
        <v>1</v>
      </c>
      <c r="F308" s="77" t="n">
        <f aca="false">IF(AND(C308=1,D308=0,E308=0),1,0)</f>
        <v>0</v>
      </c>
      <c r="G308" s="77" t="n">
        <f aca="false">(YEAR(A308)-YEAR(Impostazioni!$B$11))*12+MONTH(A308)-MONTH(Impostazioni!$B$11)</f>
        <v>10</v>
      </c>
      <c r="H308" s="77" t="n">
        <f aca="false">INT((DAY(A308)-1+WEEKDAY(DATE(YEAR(A308),MONTH(A308),1),2)-1)/7)</f>
        <v>1</v>
      </c>
      <c r="I308" s="77" t="str">
        <f aca="false">IF(G308&gt;11,"",INDEX(Calendario!$A$14:$G$193,4+15*G308+2*H308,WEEKDAY(A308,2))&amp;"")</f>
        <v/>
      </c>
      <c r="J308" s="77" t="n">
        <f aca="false">IF(AND(F308=1,I308="A"),1,0)</f>
        <v>0</v>
      </c>
      <c r="K308" s="77" t="n">
        <f aca="false">IF(AND(F308=1,I308="G"),1,0)</f>
        <v>0</v>
      </c>
      <c r="L308" s="77" t="n">
        <f aca="false">IF(AND(F308=1,A308&gt;=Impostazioni!$B$8),1,0)</f>
        <v>0</v>
      </c>
      <c r="M308" s="77" t="n">
        <f aca="false">IF(C308=0,3,IF(OR(D308=1,E308=1),2,IF(WEEKDAY(A308,2)&gt;5,1,0)))</f>
        <v>2</v>
      </c>
      <c r="N308" s="77" t="str">
        <f aca="false">IF(OR(I308="A",I308="G"),MAX(N$1:N307)+1,"")</f>
        <v/>
      </c>
    </row>
    <row r="309" customFormat="false" ht="15" hidden="false" customHeight="false" outlineLevel="0" collapsed="false">
      <c r="A309" s="75" t="n">
        <f aca="false">A308+1</f>
        <v>46603</v>
      </c>
      <c r="B309" s="76" t="n">
        <f aca="false">DATE(YEAR(A309),MONTH(A309),1)</f>
        <v>46600</v>
      </c>
      <c r="C309" s="77" t="n">
        <f aca="false">IF(AND(A309&gt;=Impostazioni!$B$4,A309&lt;=Impostazioni!$B$5),1,0)</f>
        <v>1</v>
      </c>
      <c r="D309" s="77" t="n">
        <f aca="false">IF(COUNTIF(Impostazioni!$A$27:$A$56,A309)&gt;0,1,0)</f>
        <v>0</v>
      </c>
      <c r="E309" s="77" t="n">
        <f aca="false">IF(COUNTIFS(Impostazioni!$A$16:$A$23,"&lt;="&amp;A309,Impostazioni!$B$16:$B$23,"&gt;="&amp;A309)&gt;0,1,0)</f>
        <v>1</v>
      </c>
      <c r="F309" s="77" t="n">
        <f aca="false">IF(AND(C309=1,D309=0,E309=0),1,0)</f>
        <v>0</v>
      </c>
      <c r="G309" s="77" t="n">
        <f aca="false">(YEAR(A309)-YEAR(Impostazioni!$B$11))*12+MONTH(A309)-MONTH(Impostazioni!$B$11)</f>
        <v>10</v>
      </c>
      <c r="H309" s="77" t="n">
        <f aca="false">INT((DAY(A309)-1+WEEKDAY(DATE(YEAR(A309),MONTH(A309),1),2)-1)/7)</f>
        <v>1</v>
      </c>
      <c r="I309" s="77" t="str">
        <f aca="false">IF(G309&gt;11,"",INDEX(Calendario!$A$14:$G$193,4+15*G309+2*H309,WEEKDAY(A309,2))&amp;"")</f>
        <v/>
      </c>
      <c r="J309" s="77" t="n">
        <f aca="false">IF(AND(F309=1,I309="A"),1,0)</f>
        <v>0</v>
      </c>
      <c r="K309" s="77" t="n">
        <f aca="false">IF(AND(F309=1,I309="G"),1,0)</f>
        <v>0</v>
      </c>
      <c r="L309" s="77" t="n">
        <f aca="false">IF(AND(F309=1,A309&gt;=Impostazioni!$B$8),1,0)</f>
        <v>0</v>
      </c>
      <c r="M309" s="77" t="n">
        <f aca="false">IF(C309=0,3,IF(OR(D309=1,E309=1),2,IF(WEEKDAY(A309,2)&gt;5,1,0)))</f>
        <v>2</v>
      </c>
      <c r="N309" s="77" t="str">
        <f aca="false">IF(OR(I309="A",I309="G"),MAX(N$1:N308)+1,"")</f>
        <v/>
      </c>
    </row>
    <row r="310" customFormat="false" ht="15" hidden="false" customHeight="false" outlineLevel="0" collapsed="false">
      <c r="A310" s="75" t="n">
        <f aca="false">A309+1</f>
        <v>46604</v>
      </c>
      <c r="B310" s="76" t="n">
        <f aca="false">DATE(YEAR(A310),MONTH(A310),1)</f>
        <v>46600</v>
      </c>
      <c r="C310" s="77" t="n">
        <f aca="false">IF(AND(A310&gt;=Impostazioni!$B$4,A310&lt;=Impostazioni!$B$5),1,0)</f>
        <v>1</v>
      </c>
      <c r="D310" s="77" t="n">
        <f aca="false">IF(COUNTIF(Impostazioni!$A$27:$A$56,A310)&gt;0,1,0)</f>
        <v>0</v>
      </c>
      <c r="E310" s="77" t="n">
        <f aca="false">IF(COUNTIFS(Impostazioni!$A$16:$A$23,"&lt;="&amp;A310,Impostazioni!$B$16:$B$23,"&gt;="&amp;A310)&gt;0,1,0)</f>
        <v>1</v>
      </c>
      <c r="F310" s="77" t="n">
        <f aca="false">IF(AND(C310=1,D310=0,E310=0),1,0)</f>
        <v>0</v>
      </c>
      <c r="G310" s="77" t="n">
        <f aca="false">(YEAR(A310)-YEAR(Impostazioni!$B$11))*12+MONTH(A310)-MONTH(Impostazioni!$B$11)</f>
        <v>10</v>
      </c>
      <c r="H310" s="77" t="n">
        <f aca="false">INT((DAY(A310)-1+WEEKDAY(DATE(YEAR(A310),MONTH(A310),1),2)-1)/7)</f>
        <v>1</v>
      </c>
      <c r="I310" s="77" t="str">
        <f aca="false">IF(G310&gt;11,"",INDEX(Calendario!$A$14:$G$193,4+15*G310+2*H310,WEEKDAY(A310,2))&amp;"")</f>
        <v/>
      </c>
      <c r="J310" s="77" t="n">
        <f aca="false">IF(AND(F310=1,I310="A"),1,0)</f>
        <v>0</v>
      </c>
      <c r="K310" s="77" t="n">
        <f aca="false">IF(AND(F310=1,I310="G"),1,0)</f>
        <v>0</v>
      </c>
      <c r="L310" s="77" t="n">
        <f aca="false">IF(AND(F310=1,A310&gt;=Impostazioni!$B$8),1,0)</f>
        <v>0</v>
      </c>
      <c r="M310" s="77" t="n">
        <f aca="false">IF(C310=0,3,IF(OR(D310=1,E310=1),2,IF(WEEKDAY(A310,2)&gt;5,1,0)))</f>
        <v>2</v>
      </c>
      <c r="N310" s="77" t="str">
        <f aca="false">IF(OR(I310="A",I310="G"),MAX(N$1:N309)+1,"")</f>
        <v/>
      </c>
    </row>
    <row r="311" customFormat="false" ht="15" hidden="false" customHeight="false" outlineLevel="0" collapsed="false">
      <c r="A311" s="75" t="n">
        <f aca="false">A310+1</f>
        <v>46605</v>
      </c>
      <c r="B311" s="76" t="n">
        <f aca="false">DATE(YEAR(A311),MONTH(A311),1)</f>
        <v>46600</v>
      </c>
      <c r="C311" s="77" t="n">
        <f aca="false">IF(AND(A311&gt;=Impostazioni!$B$4,A311&lt;=Impostazioni!$B$5),1,0)</f>
        <v>1</v>
      </c>
      <c r="D311" s="77" t="n">
        <f aca="false">IF(COUNTIF(Impostazioni!$A$27:$A$56,A311)&gt;0,1,0)</f>
        <v>0</v>
      </c>
      <c r="E311" s="77" t="n">
        <f aca="false">IF(COUNTIFS(Impostazioni!$A$16:$A$23,"&lt;="&amp;A311,Impostazioni!$B$16:$B$23,"&gt;="&amp;A311)&gt;0,1,0)</f>
        <v>1</v>
      </c>
      <c r="F311" s="77" t="n">
        <f aca="false">IF(AND(C311=1,D311=0,E311=0),1,0)</f>
        <v>0</v>
      </c>
      <c r="G311" s="77" t="n">
        <f aca="false">(YEAR(A311)-YEAR(Impostazioni!$B$11))*12+MONTH(A311)-MONTH(Impostazioni!$B$11)</f>
        <v>10</v>
      </c>
      <c r="H311" s="77" t="n">
        <f aca="false">INT((DAY(A311)-1+WEEKDAY(DATE(YEAR(A311),MONTH(A311),1),2)-1)/7)</f>
        <v>1</v>
      </c>
      <c r="I311" s="77" t="str">
        <f aca="false">IF(G311&gt;11,"",INDEX(Calendario!$A$14:$G$193,4+15*G311+2*H311,WEEKDAY(A311,2))&amp;"")</f>
        <v/>
      </c>
      <c r="J311" s="77" t="n">
        <f aca="false">IF(AND(F311=1,I311="A"),1,0)</f>
        <v>0</v>
      </c>
      <c r="K311" s="77" t="n">
        <f aca="false">IF(AND(F311=1,I311="G"),1,0)</f>
        <v>0</v>
      </c>
      <c r="L311" s="77" t="n">
        <f aca="false">IF(AND(F311=1,A311&gt;=Impostazioni!$B$8),1,0)</f>
        <v>0</v>
      </c>
      <c r="M311" s="77" t="n">
        <f aca="false">IF(C311=0,3,IF(OR(D311=1,E311=1),2,IF(WEEKDAY(A311,2)&gt;5,1,0)))</f>
        <v>2</v>
      </c>
      <c r="N311" s="77" t="str">
        <f aca="false">IF(OR(I311="A",I311="G"),MAX(N$1:N310)+1,"")</f>
        <v/>
      </c>
    </row>
    <row r="312" customFormat="false" ht="15" hidden="false" customHeight="false" outlineLevel="0" collapsed="false">
      <c r="A312" s="75" t="n">
        <f aca="false">A311+1</f>
        <v>46606</v>
      </c>
      <c r="B312" s="76" t="n">
        <f aca="false">DATE(YEAR(A312),MONTH(A312),1)</f>
        <v>46600</v>
      </c>
      <c r="C312" s="77" t="n">
        <f aca="false">IF(AND(A312&gt;=Impostazioni!$B$4,A312&lt;=Impostazioni!$B$5),1,0)</f>
        <v>1</v>
      </c>
      <c r="D312" s="77" t="n">
        <f aca="false">IF(COUNTIF(Impostazioni!$A$27:$A$56,A312)&gt;0,1,0)</f>
        <v>0</v>
      </c>
      <c r="E312" s="77" t="n">
        <f aca="false">IF(COUNTIFS(Impostazioni!$A$16:$A$23,"&lt;="&amp;A312,Impostazioni!$B$16:$B$23,"&gt;="&amp;A312)&gt;0,1,0)</f>
        <v>1</v>
      </c>
      <c r="F312" s="77" t="n">
        <f aca="false">IF(AND(C312=1,D312=0,E312=0),1,0)</f>
        <v>0</v>
      </c>
      <c r="G312" s="77" t="n">
        <f aca="false">(YEAR(A312)-YEAR(Impostazioni!$B$11))*12+MONTH(A312)-MONTH(Impostazioni!$B$11)</f>
        <v>10</v>
      </c>
      <c r="H312" s="77" t="n">
        <f aca="false">INT((DAY(A312)-1+WEEKDAY(DATE(YEAR(A312),MONTH(A312),1),2)-1)/7)</f>
        <v>1</v>
      </c>
      <c r="I312" s="77" t="str">
        <f aca="false">IF(G312&gt;11,"",INDEX(Calendario!$A$14:$G$193,4+15*G312+2*H312,WEEKDAY(A312,2))&amp;"")</f>
        <v/>
      </c>
      <c r="J312" s="77" t="n">
        <f aca="false">IF(AND(F312=1,I312="A"),1,0)</f>
        <v>0</v>
      </c>
      <c r="K312" s="77" t="n">
        <f aca="false">IF(AND(F312=1,I312="G"),1,0)</f>
        <v>0</v>
      </c>
      <c r="L312" s="77" t="n">
        <f aca="false">IF(AND(F312=1,A312&gt;=Impostazioni!$B$8),1,0)</f>
        <v>0</v>
      </c>
      <c r="M312" s="77" t="n">
        <f aca="false">IF(C312=0,3,IF(OR(D312=1,E312=1),2,IF(WEEKDAY(A312,2)&gt;5,1,0)))</f>
        <v>2</v>
      </c>
      <c r="N312" s="77" t="str">
        <f aca="false">IF(OR(I312="A",I312="G"),MAX(N$1:N311)+1,"")</f>
        <v/>
      </c>
    </row>
    <row r="313" customFormat="false" ht="15" hidden="false" customHeight="false" outlineLevel="0" collapsed="false">
      <c r="A313" s="75" t="n">
        <f aca="false">A312+1</f>
        <v>46607</v>
      </c>
      <c r="B313" s="76" t="n">
        <f aca="false">DATE(YEAR(A313),MONTH(A313),1)</f>
        <v>46600</v>
      </c>
      <c r="C313" s="77" t="n">
        <f aca="false">IF(AND(A313&gt;=Impostazioni!$B$4,A313&lt;=Impostazioni!$B$5),1,0)</f>
        <v>1</v>
      </c>
      <c r="D313" s="77" t="n">
        <f aca="false">IF(COUNTIF(Impostazioni!$A$27:$A$56,A313)&gt;0,1,0)</f>
        <v>0</v>
      </c>
      <c r="E313" s="77" t="n">
        <f aca="false">IF(COUNTIFS(Impostazioni!$A$16:$A$23,"&lt;="&amp;A313,Impostazioni!$B$16:$B$23,"&gt;="&amp;A313)&gt;0,1,0)</f>
        <v>1</v>
      </c>
      <c r="F313" s="77" t="n">
        <f aca="false">IF(AND(C313=1,D313=0,E313=0),1,0)</f>
        <v>0</v>
      </c>
      <c r="G313" s="77" t="n">
        <f aca="false">(YEAR(A313)-YEAR(Impostazioni!$B$11))*12+MONTH(A313)-MONTH(Impostazioni!$B$11)</f>
        <v>10</v>
      </c>
      <c r="H313" s="77" t="n">
        <f aca="false">INT((DAY(A313)-1+WEEKDAY(DATE(YEAR(A313),MONTH(A313),1),2)-1)/7)</f>
        <v>1</v>
      </c>
      <c r="I313" s="77" t="str">
        <f aca="false">IF(G313&gt;11,"",INDEX(Calendario!$A$14:$G$193,4+15*G313+2*H313,WEEKDAY(A313,2))&amp;"")</f>
        <v/>
      </c>
      <c r="J313" s="77" t="n">
        <f aca="false">IF(AND(F313=1,I313="A"),1,0)</f>
        <v>0</v>
      </c>
      <c r="K313" s="77" t="n">
        <f aca="false">IF(AND(F313=1,I313="G"),1,0)</f>
        <v>0</v>
      </c>
      <c r="L313" s="77" t="n">
        <f aca="false">IF(AND(F313=1,A313&gt;=Impostazioni!$B$8),1,0)</f>
        <v>0</v>
      </c>
      <c r="M313" s="77" t="n">
        <f aca="false">IF(C313=0,3,IF(OR(D313=1,E313=1),2,IF(WEEKDAY(A313,2)&gt;5,1,0)))</f>
        <v>2</v>
      </c>
      <c r="N313" s="77" t="str">
        <f aca="false">IF(OR(I313="A",I313="G"),MAX(N$1:N312)+1,"")</f>
        <v/>
      </c>
    </row>
    <row r="314" customFormat="false" ht="15" hidden="false" customHeight="false" outlineLevel="0" collapsed="false">
      <c r="A314" s="75" t="n">
        <f aca="false">A313+1</f>
        <v>46608</v>
      </c>
      <c r="B314" s="76" t="n">
        <f aca="false">DATE(YEAR(A314),MONTH(A314),1)</f>
        <v>46600</v>
      </c>
      <c r="C314" s="77" t="n">
        <f aca="false">IF(AND(A314&gt;=Impostazioni!$B$4,A314&lt;=Impostazioni!$B$5),1,0)</f>
        <v>1</v>
      </c>
      <c r="D314" s="77" t="n">
        <f aca="false">IF(COUNTIF(Impostazioni!$A$27:$A$56,A314)&gt;0,1,0)</f>
        <v>0</v>
      </c>
      <c r="E314" s="77" t="n">
        <f aca="false">IF(COUNTIFS(Impostazioni!$A$16:$A$23,"&lt;="&amp;A314,Impostazioni!$B$16:$B$23,"&gt;="&amp;A314)&gt;0,1,0)</f>
        <v>1</v>
      </c>
      <c r="F314" s="77" t="n">
        <f aca="false">IF(AND(C314=1,D314=0,E314=0),1,0)</f>
        <v>0</v>
      </c>
      <c r="G314" s="77" t="n">
        <f aca="false">(YEAR(A314)-YEAR(Impostazioni!$B$11))*12+MONTH(A314)-MONTH(Impostazioni!$B$11)</f>
        <v>10</v>
      </c>
      <c r="H314" s="77" t="n">
        <f aca="false">INT((DAY(A314)-1+WEEKDAY(DATE(YEAR(A314),MONTH(A314),1),2)-1)/7)</f>
        <v>2</v>
      </c>
      <c r="I314" s="77" t="str">
        <f aca="false">IF(G314&gt;11,"",INDEX(Calendario!$A$14:$G$193,4+15*G314+2*H314,WEEKDAY(A314,2))&amp;"")</f>
        <v/>
      </c>
      <c r="J314" s="77" t="n">
        <f aca="false">IF(AND(F314=1,I314="A"),1,0)</f>
        <v>0</v>
      </c>
      <c r="K314" s="77" t="n">
        <f aca="false">IF(AND(F314=1,I314="G"),1,0)</f>
        <v>0</v>
      </c>
      <c r="L314" s="77" t="n">
        <f aca="false">IF(AND(F314=1,A314&gt;=Impostazioni!$B$8),1,0)</f>
        <v>0</v>
      </c>
      <c r="M314" s="77" t="n">
        <f aca="false">IF(C314=0,3,IF(OR(D314=1,E314=1),2,IF(WEEKDAY(A314,2)&gt;5,1,0)))</f>
        <v>2</v>
      </c>
      <c r="N314" s="77" t="str">
        <f aca="false">IF(OR(I314="A",I314="G"),MAX(N$1:N313)+1,"")</f>
        <v/>
      </c>
    </row>
    <row r="315" customFormat="false" ht="15" hidden="false" customHeight="false" outlineLevel="0" collapsed="false">
      <c r="A315" s="75" t="n">
        <f aca="false">A314+1</f>
        <v>46609</v>
      </c>
      <c r="B315" s="76" t="n">
        <f aca="false">DATE(YEAR(A315),MONTH(A315),1)</f>
        <v>46600</v>
      </c>
      <c r="C315" s="77" t="n">
        <f aca="false">IF(AND(A315&gt;=Impostazioni!$B$4,A315&lt;=Impostazioni!$B$5),1,0)</f>
        <v>1</v>
      </c>
      <c r="D315" s="77" t="n">
        <f aca="false">IF(COUNTIF(Impostazioni!$A$27:$A$56,A315)&gt;0,1,0)</f>
        <v>0</v>
      </c>
      <c r="E315" s="77" t="n">
        <f aca="false">IF(COUNTIFS(Impostazioni!$A$16:$A$23,"&lt;="&amp;A315,Impostazioni!$B$16:$B$23,"&gt;="&amp;A315)&gt;0,1,0)</f>
        <v>1</v>
      </c>
      <c r="F315" s="77" t="n">
        <f aca="false">IF(AND(C315=1,D315=0,E315=0),1,0)</f>
        <v>0</v>
      </c>
      <c r="G315" s="77" t="n">
        <f aca="false">(YEAR(A315)-YEAR(Impostazioni!$B$11))*12+MONTH(A315)-MONTH(Impostazioni!$B$11)</f>
        <v>10</v>
      </c>
      <c r="H315" s="77" t="n">
        <f aca="false">INT((DAY(A315)-1+WEEKDAY(DATE(YEAR(A315),MONTH(A315),1),2)-1)/7)</f>
        <v>2</v>
      </c>
      <c r="I315" s="77" t="str">
        <f aca="false">IF(G315&gt;11,"",INDEX(Calendario!$A$14:$G$193,4+15*G315+2*H315,WEEKDAY(A315,2))&amp;"")</f>
        <v/>
      </c>
      <c r="J315" s="77" t="n">
        <f aca="false">IF(AND(F315=1,I315="A"),1,0)</f>
        <v>0</v>
      </c>
      <c r="K315" s="77" t="n">
        <f aca="false">IF(AND(F315=1,I315="G"),1,0)</f>
        <v>0</v>
      </c>
      <c r="L315" s="77" t="n">
        <f aca="false">IF(AND(F315=1,A315&gt;=Impostazioni!$B$8),1,0)</f>
        <v>0</v>
      </c>
      <c r="M315" s="77" t="n">
        <f aca="false">IF(C315=0,3,IF(OR(D315=1,E315=1),2,IF(WEEKDAY(A315,2)&gt;5,1,0)))</f>
        <v>2</v>
      </c>
      <c r="N315" s="77" t="str">
        <f aca="false">IF(OR(I315="A",I315="G"),MAX(N$1:N314)+1,"")</f>
        <v/>
      </c>
    </row>
    <row r="316" customFormat="false" ht="15" hidden="false" customHeight="false" outlineLevel="0" collapsed="false">
      <c r="A316" s="75" t="n">
        <f aca="false">A315+1</f>
        <v>46610</v>
      </c>
      <c r="B316" s="76" t="n">
        <f aca="false">DATE(YEAR(A316),MONTH(A316),1)</f>
        <v>46600</v>
      </c>
      <c r="C316" s="77" t="n">
        <f aca="false">IF(AND(A316&gt;=Impostazioni!$B$4,A316&lt;=Impostazioni!$B$5),1,0)</f>
        <v>1</v>
      </c>
      <c r="D316" s="77" t="n">
        <f aca="false">IF(COUNTIF(Impostazioni!$A$27:$A$56,A316)&gt;0,1,0)</f>
        <v>0</v>
      </c>
      <c r="E316" s="77" t="n">
        <f aca="false">IF(COUNTIFS(Impostazioni!$A$16:$A$23,"&lt;="&amp;A316,Impostazioni!$B$16:$B$23,"&gt;="&amp;A316)&gt;0,1,0)</f>
        <v>1</v>
      </c>
      <c r="F316" s="77" t="n">
        <f aca="false">IF(AND(C316=1,D316=0,E316=0),1,0)</f>
        <v>0</v>
      </c>
      <c r="G316" s="77" t="n">
        <f aca="false">(YEAR(A316)-YEAR(Impostazioni!$B$11))*12+MONTH(A316)-MONTH(Impostazioni!$B$11)</f>
        <v>10</v>
      </c>
      <c r="H316" s="77" t="n">
        <f aca="false">INT((DAY(A316)-1+WEEKDAY(DATE(YEAR(A316),MONTH(A316),1),2)-1)/7)</f>
        <v>2</v>
      </c>
      <c r="I316" s="77" t="str">
        <f aca="false">IF(G316&gt;11,"",INDEX(Calendario!$A$14:$G$193,4+15*G316+2*H316,WEEKDAY(A316,2))&amp;"")</f>
        <v/>
      </c>
      <c r="J316" s="77" t="n">
        <f aca="false">IF(AND(F316=1,I316="A"),1,0)</f>
        <v>0</v>
      </c>
      <c r="K316" s="77" t="n">
        <f aca="false">IF(AND(F316=1,I316="G"),1,0)</f>
        <v>0</v>
      </c>
      <c r="L316" s="77" t="n">
        <f aca="false">IF(AND(F316=1,A316&gt;=Impostazioni!$B$8),1,0)</f>
        <v>0</v>
      </c>
      <c r="M316" s="77" t="n">
        <f aca="false">IF(C316=0,3,IF(OR(D316=1,E316=1),2,IF(WEEKDAY(A316,2)&gt;5,1,0)))</f>
        <v>2</v>
      </c>
      <c r="N316" s="77" t="str">
        <f aca="false">IF(OR(I316="A",I316="G"),MAX(N$1:N315)+1,"")</f>
        <v/>
      </c>
    </row>
    <row r="317" customFormat="false" ht="15" hidden="false" customHeight="false" outlineLevel="0" collapsed="false">
      <c r="A317" s="75" t="n">
        <f aca="false">A316+1</f>
        <v>46611</v>
      </c>
      <c r="B317" s="76" t="n">
        <f aca="false">DATE(YEAR(A317),MONTH(A317),1)</f>
        <v>46600</v>
      </c>
      <c r="C317" s="77" t="n">
        <f aca="false">IF(AND(A317&gt;=Impostazioni!$B$4,A317&lt;=Impostazioni!$B$5),1,0)</f>
        <v>1</v>
      </c>
      <c r="D317" s="77" t="n">
        <f aca="false">IF(COUNTIF(Impostazioni!$A$27:$A$56,A317)&gt;0,1,0)</f>
        <v>0</v>
      </c>
      <c r="E317" s="77" t="n">
        <f aca="false">IF(COUNTIFS(Impostazioni!$A$16:$A$23,"&lt;="&amp;A317,Impostazioni!$B$16:$B$23,"&gt;="&amp;A317)&gt;0,1,0)</f>
        <v>1</v>
      </c>
      <c r="F317" s="77" t="n">
        <f aca="false">IF(AND(C317=1,D317=0,E317=0),1,0)</f>
        <v>0</v>
      </c>
      <c r="G317" s="77" t="n">
        <f aca="false">(YEAR(A317)-YEAR(Impostazioni!$B$11))*12+MONTH(A317)-MONTH(Impostazioni!$B$11)</f>
        <v>10</v>
      </c>
      <c r="H317" s="77" t="n">
        <f aca="false">INT((DAY(A317)-1+WEEKDAY(DATE(YEAR(A317),MONTH(A317),1),2)-1)/7)</f>
        <v>2</v>
      </c>
      <c r="I317" s="77" t="str">
        <f aca="false">IF(G317&gt;11,"",INDEX(Calendario!$A$14:$G$193,4+15*G317+2*H317,WEEKDAY(A317,2))&amp;"")</f>
        <v/>
      </c>
      <c r="J317" s="77" t="n">
        <f aca="false">IF(AND(F317=1,I317="A"),1,0)</f>
        <v>0</v>
      </c>
      <c r="K317" s="77" t="n">
        <f aca="false">IF(AND(F317=1,I317="G"),1,0)</f>
        <v>0</v>
      </c>
      <c r="L317" s="77" t="n">
        <f aca="false">IF(AND(F317=1,A317&gt;=Impostazioni!$B$8),1,0)</f>
        <v>0</v>
      </c>
      <c r="M317" s="77" t="n">
        <f aca="false">IF(C317=0,3,IF(OR(D317=1,E317=1),2,IF(WEEKDAY(A317,2)&gt;5,1,0)))</f>
        <v>2</v>
      </c>
      <c r="N317" s="77" t="str">
        <f aca="false">IF(OR(I317="A",I317="G"),MAX(N$1:N316)+1,"")</f>
        <v/>
      </c>
    </row>
    <row r="318" customFormat="false" ht="15" hidden="false" customHeight="false" outlineLevel="0" collapsed="false">
      <c r="A318" s="75" t="n">
        <f aca="false">A317+1</f>
        <v>46612</v>
      </c>
      <c r="B318" s="76" t="n">
        <f aca="false">DATE(YEAR(A318),MONTH(A318),1)</f>
        <v>46600</v>
      </c>
      <c r="C318" s="77" t="n">
        <f aca="false">IF(AND(A318&gt;=Impostazioni!$B$4,A318&lt;=Impostazioni!$B$5),1,0)</f>
        <v>1</v>
      </c>
      <c r="D318" s="77" t="n">
        <f aca="false">IF(COUNTIF(Impostazioni!$A$27:$A$56,A318)&gt;0,1,0)</f>
        <v>0</v>
      </c>
      <c r="E318" s="77" t="n">
        <f aca="false">IF(COUNTIFS(Impostazioni!$A$16:$A$23,"&lt;="&amp;A318,Impostazioni!$B$16:$B$23,"&gt;="&amp;A318)&gt;0,1,0)</f>
        <v>1</v>
      </c>
      <c r="F318" s="77" t="n">
        <f aca="false">IF(AND(C318=1,D318=0,E318=0),1,0)</f>
        <v>0</v>
      </c>
      <c r="G318" s="77" t="n">
        <f aca="false">(YEAR(A318)-YEAR(Impostazioni!$B$11))*12+MONTH(A318)-MONTH(Impostazioni!$B$11)</f>
        <v>10</v>
      </c>
      <c r="H318" s="77" t="n">
        <f aca="false">INT((DAY(A318)-1+WEEKDAY(DATE(YEAR(A318),MONTH(A318),1),2)-1)/7)</f>
        <v>2</v>
      </c>
      <c r="I318" s="77" t="str">
        <f aca="false">IF(G318&gt;11,"",INDEX(Calendario!$A$14:$G$193,4+15*G318+2*H318,WEEKDAY(A318,2))&amp;"")</f>
        <v/>
      </c>
      <c r="J318" s="77" t="n">
        <f aca="false">IF(AND(F318=1,I318="A"),1,0)</f>
        <v>0</v>
      </c>
      <c r="K318" s="77" t="n">
        <f aca="false">IF(AND(F318=1,I318="G"),1,0)</f>
        <v>0</v>
      </c>
      <c r="L318" s="77" t="n">
        <f aca="false">IF(AND(F318=1,A318&gt;=Impostazioni!$B$8),1,0)</f>
        <v>0</v>
      </c>
      <c r="M318" s="77" t="n">
        <f aca="false">IF(C318=0,3,IF(OR(D318=1,E318=1),2,IF(WEEKDAY(A318,2)&gt;5,1,0)))</f>
        <v>2</v>
      </c>
      <c r="N318" s="77" t="str">
        <f aca="false">IF(OR(I318="A",I318="G"),MAX(N$1:N317)+1,"")</f>
        <v/>
      </c>
    </row>
    <row r="319" customFormat="false" ht="15" hidden="false" customHeight="false" outlineLevel="0" collapsed="false">
      <c r="A319" s="75" t="n">
        <f aca="false">A318+1</f>
        <v>46613</v>
      </c>
      <c r="B319" s="76" t="n">
        <f aca="false">DATE(YEAR(A319),MONTH(A319),1)</f>
        <v>46600</v>
      </c>
      <c r="C319" s="77" t="n">
        <f aca="false">IF(AND(A319&gt;=Impostazioni!$B$4,A319&lt;=Impostazioni!$B$5),1,0)</f>
        <v>1</v>
      </c>
      <c r="D319" s="77" t="n">
        <f aca="false">IF(COUNTIF(Impostazioni!$A$27:$A$56,A319)&gt;0,1,0)</f>
        <v>0</v>
      </c>
      <c r="E319" s="77" t="n">
        <f aca="false">IF(COUNTIFS(Impostazioni!$A$16:$A$23,"&lt;="&amp;A319,Impostazioni!$B$16:$B$23,"&gt;="&amp;A319)&gt;0,1,0)</f>
        <v>1</v>
      </c>
      <c r="F319" s="77" t="n">
        <f aca="false">IF(AND(C319=1,D319=0,E319=0),1,0)</f>
        <v>0</v>
      </c>
      <c r="G319" s="77" t="n">
        <f aca="false">(YEAR(A319)-YEAR(Impostazioni!$B$11))*12+MONTH(A319)-MONTH(Impostazioni!$B$11)</f>
        <v>10</v>
      </c>
      <c r="H319" s="77" t="n">
        <f aca="false">INT((DAY(A319)-1+WEEKDAY(DATE(YEAR(A319),MONTH(A319),1),2)-1)/7)</f>
        <v>2</v>
      </c>
      <c r="I319" s="77" t="str">
        <f aca="false">IF(G319&gt;11,"",INDEX(Calendario!$A$14:$G$193,4+15*G319+2*H319,WEEKDAY(A319,2))&amp;"")</f>
        <v/>
      </c>
      <c r="J319" s="77" t="n">
        <f aca="false">IF(AND(F319=1,I319="A"),1,0)</f>
        <v>0</v>
      </c>
      <c r="K319" s="77" t="n">
        <f aca="false">IF(AND(F319=1,I319="G"),1,0)</f>
        <v>0</v>
      </c>
      <c r="L319" s="77" t="n">
        <f aca="false">IF(AND(F319=1,A319&gt;=Impostazioni!$B$8),1,0)</f>
        <v>0</v>
      </c>
      <c r="M319" s="77" t="n">
        <f aca="false">IF(C319=0,3,IF(OR(D319=1,E319=1),2,IF(WEEKDAY(A319,2)&gt;5,1,0)))</f>
        <v>2</v>
      </c>
      <c r="N319" s="77" t="str">
        <f aca="false">IF(OR(I319="A",I319="G"),MAX(N$1:N318)+1,"")</f>
        <v/>
      </c>
    </row>
    <row r="320" customFormat="false" ht="15" hidden="false" customHeight="false" outlineLevel="0" collapsed="false">
      <c r="A320" s="75" t="n">
        <f aca="false">A319+1</f>
        <v>46614</v>
      </c>
      <c r="B320" s="76" t="n">
        <f aca="false">DATE(YEAR(A320),MONTH(A320),1)</f>
        <v>46600</v>
      </c>
      <c r="C320" s="77" t="n">
        <f aca="false">IF(AND(A320&gt;=Impostazioni!$B$4,A320&lt;=Impostazioni!$B$5),1,0)</f>
        <v>1</v>
      </c>
      <c r="D320" s="77" t="n">
        <f aca="false">IF(COUNTIF(Impostazioni!$A$27:$A$56,A320)&gt;0,1,0)</f>
        <v>1</v>
      </c>
      <c r="E320" s="77" t="n">
        <f aca="false">IF(COUNTIFS(Impostazioni!$A$16:$A$23,"&lt;="&amp;A320,Impostazioni!$B$16:$B$23,"&gt;="&amp;A320)&gt;0,1,0)</f>
        <v>1</v>
      </c>
      <c r="F320" s="77" t="n">
        <f aca="false">IF(AND(C320=1,D320=0,E320=0),1,0)</f>
        <v>0</v>
      </c>
      <c r="G320" s="77" t="n">
        <f aca="false">(YEAR(A320)-YEAR(Impostazioni!$B$11))*12+MONTH(A320)-MONTH(Impostazioni!$B$11)</f>
        <v>10</v>
      </c>
      <c r="H320" s="77" t="n">
        <f aca="false">INT((DAY(A320)-1+WEEKDAY(DATE(YEAR(A320),MONTH(A320),1),2)-1)/7)</f>
        <v>2</v>
      </c>
      <c r="I320" s="77" t="str">
        <f aca="false">IF(G320&gt;11,"",INDEX(Calendario!$A$14:$G$193,4+15*G320+2*H320,WEEKDAY(A320,2))&amp;"")</f>
        <v/>
      </c>
      <c r="J320" s="77" t="n">
        <f aca="false">IF(AND(F320=1,I320="A"),1,0)</f>
        <v>0</v>
      </c>
      <c r="K320" s="77" t="n">
        <f aca="false">IF(AND(F320=1,I320="G"),1,0)</f>
        <v>0</v>
      </c>
      <c r="L320" s="77" t="n">
        <f aca="false">IF(AND(F320=1,A320&gt;=Impostazioni!$B$8),1,0)</f>
        <v>0</v>
      </c>
      <c r="M320" s="77" t="n">
        <f aca="false">IF(C320=0,3,IF(OR(D320=1,E320=1),2,IF(WEEKDAY(A320,2)&gt;5,1,0)))</f>
        <v>2</v>
      </c>
      <c r="N320" s="77" t="str">
        <f aca="false">IF(OR(I320="A",I320="G"),MAX(N$1:N319)+1,"")</f>
        <v/>
      </c>
    </row>
    <row r="321" customFormat="false" ht="15" hidden="false" customHeight="false" outlineLevel="0" collapsed="false">
      <c r="A321" s="75" t="n">
        <f aca="false">A320+1</f>
        <v>46615</v>
      </c>
      <c r="B321" s="76" t="n">
        <f aca="false">DATE(YEAR(A321),MONTH(A321),1)</f>
        <v>46600</v>
      </c>
      <c r="C321" s="77" t="n">
        <f aca="false">IF(AND(A321&gt;=Impostazioni!$B$4,A321&lt;=Impostazioni!$B$5),1,0)</f>
        <v>1</v>
      </c>
      <c r="D321" s="77" t="n">
        <f aca="false">IF(COUNTIF(Impostazioni!$A$27:$A$56,A321)&gt;0,1,0)</f>
        <v>0</v>
      </c>
      <c r="E321" s="77" t="n">
        <f aca="false">IF(COUNTIFS(Impostazioni!$A$16:$A$23,"&lt;="&amp;A321,Impostazioni!$B$16:$B$23,"&gt;="&amp;A321)&gt;0,1,0)</f>
        <v>1</v>
      </c>
      <c r="F321" s="77" t="n">
        <f aca="false">IF(AND(C321=1,D321=0,E321=0),1,0)</f>
        <v>0</v>
      </c>
      <c r="G321" s="77" t="n">
        <f aca="false">(YEAR(A321)-YEAR(Impostazioni!$B$11))*12+MONTH(A321)-MONTH(Impostazioni!$B$11)</f>
        <v>10</v>
      </c>
      <c r="H321" s="77" t="n">
        <f aca="false">INT((DAY(A321)-1+WEEKDAY(DATE(YEAR(A321),MONTH(A321),1),2)-1)/7)</f>
        <v>3</v>
      </c>
      <c r="I321" s="77" t="str">
        <f aca="false">IF(G321&gt;11,"",INDEX(Calendario!$A$14:$G$193,4+15*G321+2*H321,WEEKDAY(A321,2))&amp;"")</f>
        <v/>
      </c>
      <c r="J321" s="77" t="n">
        <f aca="false">IF(AND(F321=1,I321="A"),1,0)</f>
        <v>0</v>
      </c>
      <c r="K321" s="77" t="n">
        <f aca="false">IF(AND(F321=1,I321="G"),1,0)</f>
        <v>0</v>
      </c>
      <c r="L321" s="77" t="n">
        <f aca="false">IF(AND(F321=1,A321&gt;=Impostazioni!$B$8),1,0)</f>
        <v>0</v>
      </c>
      <c r="M321" s="77" t="n">
        <f aca="false">IF(C321=0,3,IF(OR(D321=1,E321=1),2,IF(WEEKDAY(A321,2)&gt;5,1,0)))</f>
        <v>2</v>
      </c>
      <c r="N321" s="77" t="str">
        <f aca="false">IF(OR(I321="A",I321="G"),MAX(N$1:N320)+1,"")</f>
        <v/>
      </c>
    </row>
    <row r="322" customFormat="false" ht="15" hidden="false" customHeight="false" outlineLevel="0" collapsed="false">
      <c r="A322" s="75" t="n">
        <f aca="false">A321+1</f>
        <v>46616</v>
      </c>
      <c r="B322" s="76" t="n">
        <f aca="false">DATE(YEAR(A322),MONTH(A322),1)</f>
        <v>46600</v>
      </c>
      <c r="C322" s="77" t="n">
        <f aca="false">IF(AND(A322&gt;=Impostazioni!$B$4,A322&lt;=Impostazioni!$B$5),1,0)</f>
        <v>1</v>
      </c>
      <c r="D322" s="77" t="n">
        <f aca="false">IF(COUNTIF(Impostazioni!$A$27:$A$56,A322)&gt;0,1,0)</f>
        <v>0</v>
      </c>
      <c r="E322" s="77" t="n">
        <f aca="false">IF(COUNTIFS(Impostazioni!$A$16:$A$23,"&lt;="&amp;A322,Impostazioni!$B$16:$B$23,"&gt;="&amp;A322)&gt;0,1,0)</f>
        <v>1</v>
      </c>
      <c r="F322" s="77" t="n">
        <f aca="false">IF(AND(C322=1,D322=0,E322=0),1,0)</f>
        <v>0</v>
      </c>
      <c r="G322" s="77" t="n">
        <f aca="false">(YEAR(A322)-YEAR(Impostazioni!$B$11))*12+MONTH(A322)-MONTH(Impostazioni!$B$11)</f>
        <v>10</v>
      </c>
      <c r="H322" s="77" t="n">
        <f aca="false">INT((DAY(A322)-1+WEEKDAY(DATE(YEAR(A322),MONTH(A322),1),2)-1)/7)</f>
        <v>3</v>
      </c>
      <c r="I322" s="77" t="str">
        <f aca="false">IF(G322&gt;11,"",INDEX(Calendario!$A$14:$G$193,4+15*G322+2*H322,WEEKDAY(A322,2))&amp;"")</f>
        <v/>
      </c>
      <c r="J322" s="77" t="n">
        <f aca="false">IF(AND(F322=1,I322="A"),1,0)</f>
        <v>0</v>
      </c>
      <c r="K322" s="77" t="n">
        <f aca="false">IF(AND(F322=1,I322="G"),1,0)</f>
        <v>0</v>
      </c>
      <c r="L322" s="77" t="n">
        <f aca="false">IF(AND(F322=1,A322&gt;=Impostazioni!$B$8),1,0)</f>
        <v>0</v>
      </c>
      <c r="M322" s="77" t="n">
        <f aca="false">IF(C322=0,3,IF(OR(D322=1,E322=1),2,IF(WEEKDAY(A322,2)&gt;5,1,0)))</f>
        <v>2</v>
      </c>
      <c r="N322" s="77" t="str">
        <f aca="false">IF(OR(I322="A",I322="G"),MAX(N$1:N321)+1,"")</f>
        <v/>
      </c>
    </row>
    <row r="323" customFormat="false" ht="15" hidden="false" customHeight="false" outlineLevel="0" collapsed="false">
      <c r="A323" s="75" t="n">
        <f aca="false">A322+1</f>
        <v>46617</v>
      </c>
      <c r="B323" s="76" t="n">
        <f aca="false">DATE(YEAR(A323),MONTH(A323),1)</f>
        <v>46600</v>
      </c>
      <c r="C323" s="77" t="n">
        <f aca="false">IF(AND(A323&gt;=Impostazioni!$B$4,A323&lt;=Impostazioni!$B$5),1,0)</f>
        <v>1</v>
      </c>
      <c r="D323" s="77" t="n">
        <f aca="false">IF(COUNTIF(Impostazioni!$A$27:$A$56,A323)&gt;0,1,0)</f>
        <v>0</v>
      </c>
      <c r="E323" s="77" t="n">
        <f aca="false">IF(COUNTIFS(Impostazioni!$A$16:$A$23,"&lt;="&amp;A323,Impostazioni!$B$16:$B$23,"&gt;="&amp;A323)&gt;0,1,0)</f>
        <v>1</v>
      </c>
      <c r="F323" s="77" t="n">
        <f aca="false">IF(AND(C323=1,D323=0,E323=0),1,0)</f>
        <v>0</v>
      </c>
      <c r="G323" s="77" t="n">
        <f aca="false">(YEAR(A323)-YEAR(Impostazioni!$B$11))*12+MONTH(A323)-MONTH(Impostazioni!$B$11)</f>
        <v>10</v>
      </c>
      <c r="H323" s="77" t="n">
        <f aca="false">INT((DAY(A323)-1+WEEKDAY(DATE(YEAR(A323),MONTH(A323),1),2)-1)/7)</f>
        <v>3</v>
      </c>
      <c r="I323" s="77" t="str">
        <f aca="false">IF(G323&gt;11,"",INDEX(Calendario!$A$14:$G$193,4+15*G323+2*H323,WEEKDAY(A323,2))&amp;"")</f>
        <v/>
      </c>
      <c r="J323" s="77" t="n">
        <f aca="false">IF(AND(F323=1,I323="A"),1,0)</f>
        <v>0</v>
      </c>
      <c r="K323" s="77" t="n">
        <f aca="false">IF(AND(F323=1,I323="G"),1,0)</f>
        <v>0</v>
      </c>
      <c r="L323" s="77" t="n">
        <f aca="false">IF(AND(F323=1,A323&gt;=Impostazioni!$B$8),1,0)</f>
        <v>0</v>
      </c>
      <c r="M323" s="77" t="n">
        <f aca="false">IF(C323=0,3,IF(OR(D323=1,E323=1),2,IF(WEEKDAY(A323,2)&gt;5,1,0)))</f>
        <v>2</v>
      </c>
      <c r="N323" s="77" t="str">
        <f aca="false">IF(OR(I323="A",I323="G"),MAX(N$1:N322)+1,"")</f>
        <v/>
      </c>
    </row>
    <row r="324" customFormat="false" ht="15" hidden="false" customHeight="false" outlineLevel="0" collapsed="false">
      <c r="A324" s="75" t="n">
        <f aca="false">A323+1</f>
        <v>46618</v>
      </c>
      <c r="B324" s="76" t="n">
        <f aca="false">DATE(YEAR(A324),MONTH(A324),1)</f>
        <v>46600</v>
      </c>
      <c r="C324" s="77" t="n">
        <f aca="false">IF(AND(A324&gt;=Impostazioni!$B$4,A324&lt;=Impostazioni!$B$5),1,0)</f>
        <v>1</v>
      </c>
      <c r="D324" s="77" t="n">
        <f aca="false">IF(COUNTIF(Impostazioni!$A$27:$A$56,A324)&gt;0,1,0)</f>
        <v>0</v>
      </c>
      <c r="E324" s="77" t="n">
        <f aca="false">IF(COUNTIFS(Impostazioni!$A$16:$A$23,"&lt;="&amp;A324,Impostazioni!$B$16:$B$23,"&gt;="&amp;A324)&gt;0,1,0)</f>
        <v>1</v>
      </c>
      <c r="F324" s="77" t="n">
        <f aca="false">IF(AND(C324=1,D324=0,E324=0),1,0)</f>
        <v>0</v>
      </c>
      <c r="G324" s="77" t="n">
        <f aca="false">(YEAR(A324)-YEAR(Impostazioni!$B$11))*12+MONTH(A324)-MONTH(Impostazioni!$B$11)</f>
        <v>10</v>
      </c>
      <c r="H324" s="77" t="n">
        <f aca="false">INT((DAY(A324)-1+WEEKDAY(DATE(YEAR(A324),MONTH(A324),1),2)-1)/7)</f>
        <v>3</v>
      </c>
      <c r="I324" s="77" t="str">
        <f aca="false">IF(G324&gt;11,"",INDEX(Calendario!$A$14:$G$193,4+15*G324+2*H324,WEEKDAY(A324,2))&amp;"")</f>
        <v/>
      </c>
      <c r="J324" s="77" t="n">
        <f aca="false">IF(AND(F324=1,I324="A"),1,0)</f>
        <v>0</v>
      </c>
      <c r="K324" s="77" t="n">
        <f aca="false">IF(AND(F324=1,I324="G"),1,0)</f>
        <v>0</v>
      </c>
      <c r="L324" s="77" t="n">
        <f aca="false">IF(AND(F324=1,A324&gt;=Impostazioni!$B$8),1,0)</f>
        <v>0</v>
      </c>
      <c r="M324" s="77" t="n">
        <f aca="false">IF(C324=0,3,IF(OR(D324=1,E324=1),2,IF(WEEKDAY(A324,2)&gt;5,1,0)))</f>
        <v>2</v>
      </c>
      <c r="N324" s="77" t="str">
        <f aca="false">IF(OR(I324="A",I324="G"),MAX(N$1:N323)+1,"")</f>
        <v/>
      </c>
    </row>
    <row r="325" customFormat="false" ht="15" hidden="false" customHeight="false" outlineLevel="0" collapsed="false">
      <c r="A325" s="75" t="n">
        <f aca="false">A324+1</f>
        <v>46619</v>
      </c>
      <c r="B325" s="76" t="n">
        <f aca="false">DATE(YEAR(A325),MONTH(A325),1)</f>
        <v>46600</v>
      </c>
      <c r="C325" s="77" t="n">
        <f aca="false">IF(AND(A325&gt;=Impostazioni!$B$4,A325&lt;=Impostazioni!$B$5),1,0)</f>
        <v>1</v>
      </c>
      <c r="D325" s="77" t="n">
        <f aca="false">IF(COUNTIF(Impostazioni!$A$27:$A$56,A325)&gt;0,1,0)</f>
        <v>0</v>
      </c>
      <c r="E325" s="77" t="n">
        <f aca="false">IF(COUNTIFS(Impostazioni!$A$16:$A$23,"&lt;="&amp;A325,Impostazioni!$B$16:$B$23,"&gt;="&amp;A325)&gt;0,1,0)</f>
        <v>1</v>
      </c>
      <c r="F325" s="77" t="n">
        <f aca="false">IF(AND(C325=1,D325=0,E325=0),1,0)</f>
        <v>0</v>
      </c>
      <c r="G325" s="77" t="n">
        <f aca="false">(YEAR(A325)-YEAR(Impostazioni!$B$11))*12+MONTH(A325)-MONTH(Impostazioni!$B$11)</f>
        <v>10</v>
      </c>
      <c r="H325" s="77" t="n">
        <f aca="false">INT((DAY(A325)-1+WEEKDAY(DATE(YEAR(A325),MONTH(A325),1),2)-1)/7)</f>
        <v>3</v>
      </c>
      <c r="I325" s="77" t="str">
        <f aca="false">IF(G325&gt;11,"",INDEX(Calendario!$A$14:$G$193,4+15*G325+2*H325,WEEKDAY(A325,2))&amp;"")</f>
        <v/>
      </c>
      <c r="J325" s="77" t="n">
        <f aca="false">IF(AND(F325=1,I325="A"),1,0)</f>
        <v>0</v>
      </c>
      <c r="K325" s="77" t="n">
        <f aca="false">IF(AND(F325=1,I325="G"),1,0)</f>
        <v>0</v>
      </c>
      <c r="L325" s="77" t="n">
        <f aca="false">IF(AND(F325=1,A325&gt;=Impostazioni!$B$8),1,0)</f>
        <v>0</v>
      </c>
      <c r="M325" s="77" t="n">
        <f aca="false">IF(C325=0,3,IF(OR(D325=1,E325=1),2,IF(WEEKDAY(A325,2)&gt;5,1,0)))</f>
        <v>2</v>
      </c>
      <c r="N325" s="77" t="str">
        <f aca="false">IF(OR(I325="A",I325="G"),MAX(N$1:N324)+1,"")</f>
        <v/>
      </c>
    </row>
    <row r="326" customFormat="false" ht="15" hidden="false" customHeight="false" outlineLevel="0" collapsed="false">
      <c r="A326" s="75" t="n">
        <f aca="false">A325+1</f>
        <v>46620</v>
      </c>
      <c r="B326" s="76" t="n">
        <f aca="false">DATE(YEAR(A326),MONTH(A326),1)</f>
        <v>46600</v>
      </c>
      <c r="C326" s="77" t="n">
        <f aca="false">IF(AND(A326&gt;=Impostazioni!$B$4,A326&lt;=Impostazioni!$B$5),1,0)</f>
        <v>1</v>
      </c>
      <c r="D326" s="77" t="n">
        <f aca="false">IF(COUNTIF(Impostazioni!$A$27:$A$56,A326)&gt;0,1,0)</f>
        <v>0</v>
      </c>
      <c r="E326" s="77" t="n">
        <f aca="false">IF(COUNTIFS(Impostazioni!$A$16:$A$23,"&lt;="&amp;A326,Impostazioni!$B$16:$B$23,"&gt;="&amp;A326)&gt;0,1,0)</f>
        <v>1</v>
      </c>
      <c r="F326" s="77" t="n">
        <f aca="false">IF(AND(C326=1,D326=0,E326=0),1,0)</f>
        <v>0</v>
      </c>
      <c r="G326" s="77" t="n">
        <f aca="false">(YEAR(A326)-YEAR(Impostazioni!$B$11))*12+MONTH(A326)-MONTH(Impostazioni!$B$11)</f>
        <v>10</v>
      </c>
      <c r="H326" s="77" t="n">
        <f aca="false">INT((DAY(A326)-1+WEEKDAY(DATE(YEAR(A326),MONTH(A326),1),2)-1)/7)</f>
        <v>3</v>
      </c>
      <c r="I326" s="77" t="str">
        <f aca="false">IF(G326&gt;11,"",INDEX(Calendario!$A$14:$G$193,4+15*G326+2*H326,WEEKDAY(A326,2))&amp;"")</f>
        <v/>
      </c>
      <c r="J326" s="77" t="n">
        <f aca="false">IF(AND(F326=1,I326="A"),1,0)</f>
        <v>0</v>
      </c>
      <c r="K326" s="77" t="n">
        <f aca="false">IF(AND(F326=1,I326="G"),1,0)</f>
        <v>0</v>
      </c>
      <c r="L326" s="77" t="n">
        <f aca="false">IF(AND(F326=1,A326&gt;=Impostazioni!$B$8),1,0)</f>
        <v>0</v>
      </c>
      <c r="M326" s="77" t="n">
        <f aca="false">IF(C326=0,3,IF(OR(D326=1,E326=1),2,IF(WEEKDAY(A326,2)&gt;5,1,0)))</f>
        <v>2</v>
      </c>
      <c r="N326" s="77" t="str">
        <f aca="false">IF(OR(I326="A",I326="G"),MAX(N$1:N325)+1,"")</f>
        <v/>
      </c>
    </row>
    <row r="327" customFormat="false" ht="15" hidden="false" customHeight="false" outlineLevel="0" collapsed="false">
      <c r="A327" s="75" t="n">
        <f aca="false">A326+1</f>
        <v>46621</v>
      </c>
      <c r="B327" s="76" t="n">
        <f aca="false">DATE(YEAR(A327),MONTH(A327),1)</f>
        <v>46600</v>
      </c>
      <c r="C327" s="77" t="n">
        <f aca="false">IF(AND(A327&gt;=Impostazioni!$B$4,A327&lt;=Impostazioni!$B$5),1,0)</f>
        <v>1</v>
      </c>
      <c r="D327" s="77" t="n">
        <f aca="false">IF(COUNTIF(Impostazioni!$A$27:$A$56,A327)&gt;0,1,0)</f>
        <v>0</v>
      </c>
      <c r="E327" s="77" t="n">
        <f aca="false">IF(COUNTIFS(Impostazioni!$A$16:$A$23,"&lt;="&amp;A327,Impostazioni!$B$16:$B$23,"&gt;="&amp;A327)&gt;0,1,0)</f>
        <v>1</v>
      </c>
      <c r="F327" s="77" t="n">
        <f aca="false">IF(AND(C327=1,D327=0,E327=0),1,0)</f>
        <v>0</v>
      </c>
      <c r="G327" s="77" t="n">
        <f aca="false">(YEAR(A327)-YEAR(Impostazioni!$B$11))*12+MONTH(A327)-MONTH(Impostazioni!$B$11)</f>
        <v>10</v>
      </c>
      <c r="H327" s="77" t="n">
        <f aca="false">INT((DAY(A327)-1+WEEKDAY(DATE(YEAR(A327),MONTH(A327),1),2)-1)/7)</f>
        <v>3</v>
      </c>
      <c r="I327" s="77" t="str">
        <f aca="false">IF(G327&gt;11,"",INDEX(Calendario!$A$14:$G$193,4+15*G327+2*H327,WEEKDAY(A327,2))&amp;"")</f>
        <v/>
      </c>
      <c r="J327" s="77" t="n">
        <f aca="false">IF(AND(F327=1,I327="A"),1,0)</f>
        <v>0</v>
      </c>
      <c r="K327" s="77" t="n">
        <f aca="false">IF(AND(F327=1,I327="G"),1,0)</f>
        <v>0</v>
      </c>
      <c r="L327" s="77" t="n">
        <f aca="false">IF(AND(F327=1,A327&gt;=Impostazioni!$B$8),1,0)</f>
        <v>0</v>
      </c>
      <c r="M327" s="77" t="n">
        <f aca="false">IF(C327=0,3,IF(OR(D327=1,E327=1),2,IF(WEEKDAY(A327,2)&gt;5,1,0)))</f>
        <v>2</v>
      </c>
      <c r="N327" s="77" t="str">
        <f aca="false">IF(OR(I327="A",I327="G"),MAX(N$1:N326)+1,"")</f>
        <v/>
      </c>
    </row>
    <row r="328" customFormat="false" ht="15" hidden="false" customHeight="false" outlineLevel="0" collapsed="false">
      <c r="A328" s="75" t="n">
        <f aca="false">A327+1</f>
        <v>46622</v>
      </c>
      <c r="B328" s="76" t="n">
        <f aca="false">DATE(YEAR(A328),MONTH(A328),1)</f>
        <v>46600</v>
      </c>
      <c r="C328" s="77" t="n">
        <f aca="false">IF(AND(A328&gt;=Impostazioni!$B$4,A328&lt;=Impostazioni!$B$5),1,0)</f>
        <v>1</v>
      </c>
      <c r="D328" s="77" t="n">
        <f aca="false">IF(COUNTIF(Impostazioni!$A$27:$A$56,A328)&gt;0,1,0)</f>
        <v>0</v>
      </c>
      <c r="E328" s="77" t="n">
        <f aca="false">IF(COUNTIFS(Impostazioni!$A$16:$A$23,"&lt;="&amp;A328,Impostazioni!$B$16:$B$23,"&gt;="&amp;A328)&gt;0,1,0)</f>
        <v>1</v>
      </c>
      <c r="F328" s="77" t="n">
        <f aca="false">IF(AND(C328=1,D328=0,E328=0),1,0)</f>
        <v>0</v>
      </c>
      <c r="G328" s="77" t="n">
        <f aca="false">(YEAR(A328)-YEAR(Impostazioni!$B$11))*12+MONTH(A328)-MONTH(Impostazioni!$B$11)</f>
        <v>10</v>
      </c>
      <c r="H328" s="77" t="n">
        <f aca="false">INT((DAY(A328)-1+WEEKDAY(DATE(YEAR(A328),MONTH(A328),1),2)-1)/7)</f>
        <v>4</v>
      </c>
      <c r="I328" s="77" t="str">
        <f aca="false">IF(G328&gt;11,"",INDEX(Calendario!$A$14:$G$193,4+15*G328+2*H328,WEEKDAY(A328,2))&amp;"")</f>
        <v/>
      </c>
      <c r="J328" s="77" t="n">
        <f aca="false">IF(AND(F328=1,I328="A"),1,0)</f>
        <v>0</v>
      </c>
      <c r="K328" s="77" t="n">
        <f aca="false">IF(AND(F328=1,I328="G"),1,0)</f>
        <v>0</v>
      </c>
      <c r="L328" s="77" t="n">
        <f aca="false">IF(AND(F328=1,A328&gt;=Impostazioni!$B$8),1,0)</f>
        <v>0</v>
      </c>
      <c r="M328" s="77" t="n">
        <f aca="false">IF(C328=0,3,IF(OR(D328=1,E328=1),2,IF(WEEKDAY(A328,2)&gt;5,1,0)))</f>
        <v>2</v>
      </c>
      <c r="N328" s="77" t="str">
        <f aca="false">IF(OR(I328="A",I328="G"),MAX(N$1:N327)+1,"")</f>
        <v/>
      </c>
    </row>
    <row r="329" customFormat="false" ht="15" hidden="false" customHeight="false" outlineLevel="0" collapsed="false">
      <c r="A329" s="75" t="n">
        <f aca="false">A328+1</f>
        <v>46623</v>
      </c>
      <c r="B329" s="76" t="n">
        <f aca="false">DATE(YEAR(A329),MONTH(A329),1)</f>
        <v>46600</v>
      </c>
      <c r="C329" s="77" t="n">
        <f aca="false">IF(AND(A329&gt;=Impostazioni!$B$4,A329&lt;=Impostazioni!$B$5),1,0)</f>
        <v>1</v>
      </c>
      <c r="D329" s="77" t="n">
        <f aca="false">IF(COUNTIF(Impostazioni!$A$27:$A$56,A329)&gt;0,1,0)</f>
        <v>0</v>
      </c>
      <c r="E329" s="77" t="n">
        <f aca="false">IF(COUNTIFS(Impostazioni!$A$16:$A$23,"&lt;="&amp;A329,Impostazioni!$B$16:$B$23,"&gt;="&amp;A329)&gt;0,1,0)</f>
        <v>1</v>
      </c>
      <c r="F329" s="77" t="n">
        <f aca="false">IF(AND(C329=1,D329=0,E329=0),1,0)</f>
        <v>0</v>
      </c>
      <c r="G329" s="77" t="n">
        <f aca="false">(YEAR(A329)-YEAR(Impostazioni!$B$11))*12+MONTH(A329)-MONTH(Impostazioni!$B$11)</f>
        <v>10</v>
      </c>
      <c r="H329" s="77" t="n">
        <f aca="false">INT((DAY(A329)-1+WEEKDAY(DATE(YEAR(A329),MONTH(A329),1),2)-1)/7)</f>
        <v>4</v>
      </c>
      <c r="I329" s="77" t="str">
        <f aca="false">IF(G329&gt;11,"",INDEX(Calendario!$A$14:$G$193,4+15*G329+2*H329,WEEKDAY(A329,2))&amp;"")</f>
        <v/>
      </c>
      <c r="J329" s="77" t="n">
        <f aca="false">IF(AND(F329=1,I329="A"),1,0)</f>
        <v>0</v>
      </c>
      <c r="K329" s="77" t="n">
        <f aca="false">IF(AND(F329=1,I329="G"),1,0)</f>
        <v>0</v>
      </c>
      <c r="L329" s="77" t="n">
        <f aca="false">IF(AND(F329=1,A329&gt;=Impostazioni!$B$8),1,0)</f>
        <v>0</v>
      </c>
      <c r="M329" s="77" t="n">
        <f aca="false">IF(C329=0,3,IF(OR(D329=1,E329=1),2,IF(WEEKDAY(A329,2)&gt;5,1,0)))</f>
        <v>2</v>
      </c>
      <c r="N329" s="77" t="str">
        <f aca="false">IF(OR(I329="A",I329="G"),MAX(N$1:N328)+1,"")</f>
        <v/>
      </c>
    </row>
    <row r="330" customFormat="false" ht="15" hidden="false" customHeight="false" outlineLevel="0" collapsed="false">
      <c r="A330" s="75" t="n">
        <f aca="false">A329+1</f>
        <v>46624</v>
      </c>
      <c r="B330" s="76" t="n">
        <f aca="false">DATE(YEAR(A330),MONTH(A330),1)</f>
        <v>46600</v>
      </c>
      <c r="C330" s="77" t="n">
        <f aca="false">IF(AND(A330&gt;=Impostazioni!$B$4,A330&lt;=Impostazioni!$B$5),1,0)</f>
        <v>1</v>
      </c>
      <c r="D330" s="77" t="n">
        <f aca="false">IF(COUNTIF(Impostazioni!$A$27:$A$56,A330)&gt;0,1,0)</f>
        <v>0</v>
      </c>
      <c r="E330" s="77" t="n">
        <f aca="false">IF(COUNTIFS(Impostazioni!$A$16:$A$23,"&lt;="&amp;A330,Impostazioni!$B$16:$B$23,"&gt;="&amp;A330)&gt;0,1,0)</f>
        <v>1</v>
      </c>
      <c r="F330" s="77" t="n">
        <f aca="false">IF(AND(C330=1,D330=0,E330=0),1,0)</f>
        <v>0</v>
      </c>
      <c r="G330" s="77" t="n">
        <f aca="false">(YEAR(A330)-YEAR(Impostazioni!$B$11))*12+MONTH(A330)-MONTH(Impostazioni!$B$11)</f>
        <v>10</v>
      </c>
      <c r="H330" s="77" t="n">
        <f aca="false">INT((DAY(A330)-1+WEEKDAY(DATE(YEAR(A330),MONTH(A330),1),2)-1)/7)</f>
        <v>4</v>
      </c>
      <c r="I330" s="77" t="str">
        <f aca="false">IF(G330&gt;11,"",INDEX(Calendario!$A$14:$G$193,4+15*G330+2*H330,WEEKDAY(A330,2))&amp;"")</f>
        <v/>
      </c>
      <c r="J330" s="77" t="n">
        <f aca="false">IF(AND(F330=1,I330="A"),1,0)</f>
        <v>0</v>
      </c>
      <c r="K330" s="77" t="n">
        <f aca="false">IF(AND(F330=1,I330="G"),1,0)</f>
        <v>0</v>
      </c>
      <c r="L330" s="77" t="n">
        <f aca="false">IF(AND(F330=1,A330&gt;=Impostazioni!$B$8),1,0)</f>
        <v>0</v>
      </c>
      <c r="M330" s="77" t="n">
        <f aca="false">IF(C330=0,3,IF(OR(D330=1,E330=1),2,IF(WEEKDAY(A330,2)&gt;5,1,0)))</f>
        <v>2</v>
      </c>
      <c r="N330" s="77" t="str">
        <f aca="false">IF(OR(I330="A",I330="G"),MAX(N$1:N329)+1,"")</f>
        <v/>
      </c>
    </row>
    <row r="331" customFormat="false" ht="15" hidden="false" customHeight="false" outlineLevel="0" collapsed="false">
      <c r="A331" s="75" t="n">
        <f aca="false">A330+1</f>
        <v>46625</v>
      </c>
      <c r="B331" s="76" t="n">
        <f aca="false">DATE(YEAR(A331),MONTH(A331),1)</f>
        <v>46600</v>
      </c>
      <c r="C331" s="77" t="n">
        <f aca="false">IF(AND(A331&gt;=Impostazioni!$B$4,A331&lt;=Impostazioni!$B$5),1,0)</f>
        <v>1</v>
      </c>
      <c r="D331" s="77" t="n">
        <f aca="false">IF(COUNTIF(Impostazioni!$A$27:$A$56,A331)&gt;0,1,0)</f>
        <v>0</v>
      </c>
      <c r="E331" s="77" t="n">
        <f aca="false">IF(COUNTIFS(Impostazioni!$A$16:$A$23,"&lt;="&amp;A331,Impostazioni!$B$16:$B$23,"&gt;="&amp;A331)&gt;0,1,0)</f>
        <v>1</v>
      </c>
      <c r="F331" s="77" t="n">
        <f aca="false">IF(AND(C331=1,D331=0,E331=0),1,0)</f>
        <v>0</v>
      </c>
      <c r="G331" s="77" t="n">
        <f aca="false">(YEAR(A331)-YEAR(Impostazioni!$B$11))*12+MONTH(A331)-MONTH(Impostazioni!$B$11)</f>
        <v>10</v>
      </c>
      <c r="H331" s="77" t="n">
        <f aca="false">INT((DAY(A331)-1+WEEKDAY(DATE(YEAR(A331),MONTH(A331),1),2)-1)/7)</f>
        <v>4</v>
      </c>
      <c r="I331" s="77" t="str">
        <f aca="false">IF(G331&gt;11,"",INDEX(Calendario!$A$14:$G$193,4+15*G331+2*H331,WEEKDAY(A331,2))&amp;"")</f>
        <v/>
      </c>
      <c r="J331" s="77" t="n">
        <f aca="false">IF(AND(F331=1,I331="A"),1,0)</f>
        <v>0</v>
      </c>
      <c r="K331" s="77" t="n">
        <f aca="false">IF(AND(F331=1,I331="G"),1,0)</f>
        <v>0</v>
      </c>
      <c r="L331" s="77" t="n">
        <f aca="false">IF(AND(F331=1,A331&gt;=Impostazioni!$B$8),1,0)</f>
        <v>0</v>
      </c>
      <c r="M331" s="77" t="n">
        <f aca="false">IF(C331=0,3,IF(OR(D331=1,E331=1),2,IF(WEEKDAY(A331,2)&gt;5,1,0)))</f>
        <v>2</v>
      </c>
      <c r="N331" s="77" t="str">
        <f aca="false">IF(OR(I331="A",I331="G"),MAX(N$1:N330)+1,"")</f>
        <v/>
      </c>
    </row>
    <row r="332" customFormat="false" ht="15" hidden="false" customHeight="false" outlineLevel="0" collapsed="false">
      <c r="A332" s="75" t="n">
        <f aca="false">A331+1</f>
        <v>46626</v>
      </c>
      <c r="B332" s="76" t="n">
        <f aca="false">DATE(YEAR(A332),MONTH(A332),1)</f>
        <v>46600</v>
      </c>
      <c r="C332" s="77" t="n">
        <f aca="false">IF(AND(A332&gt;=Impostazioni!$B$4,A332&lt;=Impostazioni!$B$5),1,0)</f>
        <v>1</v>
      </c>
      <c r="D332" s="77" t="n">
        <f aca="false">IF(COUNTIF(Impostazioni!$A$27:$A$56,A332)&gt;0,1,0)</f>
        <v>0</v>
      </c>
      <c r="E332" s="77" t="n">
        <f aca="false">IF(COUNTIFS(Impostazioni!$A$16:$A$23,"&lt;="&amp;A332,Impostazioni!$B$16:$B$23,"&gt;="&amp;A332)&gt;0,1,0)</f>
        <v>1</v>
      </c>
      <c r="F332" s="77" t="n">
        <f aca="false">IF(AND(C332=1,D332=0,E332=0),1,0)</f>
        <v>0</v>
      </c>
      <c r="G332" s="77" t="n">
        <f aca="false">(YEAR(A332)-YEAR(Impostazioni!$B$11))*12+MONTH(A332)-MONTH(Impostazioni!$B$11)</f>
        <v>10</v>
      </c>
      <c r="H332" s="77" t="n">
        <f aca="false">INT((DAY(A332)-1+WEEKDAY(DATE(YEAR(A332),MONTH(A332),1),2)-1)/7)</f>
        <v>4</v>
      </c>
      <c r="I332" s="77" t="str">
        <f aca="false">IF(G332&gt;11,"",INDEX(Calendario!$A$14:$G$193,4+15*G332+2*H332,WEEKDAY(A332,2))&amp;"")</f>
        <v/>
      </c>
      <c r="J332" s="77" t="n">
        <f aca="false">IF(AND(F332=1,I332="A"),1,0)</f>
        <v>0</v>
      </c>
      <c r="K332" s="77" t="n">
        <f aca="false">IF(AND(F332=1,I332="G"),1,0)</f>
        <v>0</v>
      </c>
      <c r="L332" s="77" t="n">
        <f aca="false">IF(AND(F332=1,A332&gt;=Impostazioni!$B$8),1,0)</f>
        <v>0</v>
      </c>
      <c r="M332" s="77" t="n">
        <f aca="false">IF(C332=0,3,IF(OR(D332=1,E332=1),2,IF(WEEKDAY(A332,2)&gt;5,1,0)))</f>
        <v>2</v>
      </c>
      <c r="N332" s="77" t="str">
        <f aca="false">IF(OR(I332="A",I332="G"),MAX(N$1:N331)+1,"")</f>
        <v/>
      </c>
    </row>
    <row r="333" customFormat="false" ht="15" hidden="false" customHeight="false" outlineLevel="0" collapsed="false">
      <c r="A333" s="75" t="n">
        <f aca="false">A332+1</f>
        <v>46627</v>
      </c>
      <c r="B333" s="76" t="n">
        <f aca="false">DATE(YEAR(A333),MONTH(A333),1)</f>
        <v>46600</v>
      </c>
      <c r="C333" s="77" t="n">
        <f aca="false">IF(AND(A333&gt;=Impostazioni!$B$4,A333&lt;=Impostazioni!$B$5),1,0)</f>
        <v>1</v>
      </c>
      <c r="D333" s="77" t="n">
        <f aca="false">IF(COUNTIF(Impostazioni!$A$27:$A$56,A333)&gt;0,1,0)</f>
        <v>0</v>
      </c>
      <c r="E333" s="77" t="n">
        <f aca="false">IF(COUNTIFS(Impostazioni!$A$16:$A$23,"&lt;="&amp;A333,Impostazioni!$B$16:$B$23,"&gt;="&amp;A333)&gt;0,1,0)</f>
        <v>1</v>
      </c>
      <c r="F333" s="77" t="n">
        <f aca="false">IF(AND(C333=1,D333=0,E333=0),1,0)</f>
        <v>0</v>
      </c>
      <c r="G333" s="77" t="n">
        <f aca="false">(YEAR(A333)-YEAR(Impostazioni!$B$11))*12+MONTH(A333)-MONTH(Impostazioni!$B$11)</f>
        <v>10</v>
      </c>
      <c r="H333" s="77" t="n">
        <f aca="false">INT((DAY(A333)-1+WEEKDAY(DATE(YEAR(A333),MONTH(A333),1),2)-1)/7)</f>
        <v>4</v>
      </c>
      <c r="I333" s="77" t="str">
        <f aca="false">IF(G333&gt;11,"",INDEX(Calendario!$A$14:$G$193,4+15*G333+2*H333,WEEKDAY(A333,2))&amp;"")</f>
        <v/>
      </c>
      <c r="J333" s="77" t="n">
        <f aca="false">IF(AND(F333=1,I333="A"),1,0)</f>
        <v>0</v>
      </c>
      <c r="K333" s="77" t="n">
        <f aca="false">IF(AND(F333=1,I333="G"),1,0)</f>
        <v>0</v>
      </c>
      <c r="L333" s="77" t="n">
        <f aca="false">IF(AND(F333=1,A333&gt;=Impostazioni!$B$8),1,0)</f>
        <v>0</v>
      </c>
      <c r="M333" s="77" t="n">
        <f aca="false">IF(C333=0,3,IF(OR(D333=1,E333=1),2,IF(WEEKDAY(A333,2)&gt;5,1,0)))</f>
        <v>2</v>
      </c>
      <c r="N333" s="77" t="str">
        <f aca="false">IF(OR(I333="A",I333="G"),MAX(N$1:N332)+1,"")</f>
        <v/>
      </c>
    </row>
    <row r="334" customFormat="false" ht="15" hidden="false" customHeight="false" outlineLevel="0" collapsed="false">
      <c r="A334" s="75" t="n">
        <f aca="false">A333+1</f>
        <v>46628</v>
      </c>
      <c r="B334" s="76" t="n">
        <f aca="false">DATE(YEAR(A334),MONTH(A334),1)</f>
        <v>46600</v>
      </c>
      <c r="C334" s="77" t="n">
        <f aca="false">IF(AND(A334&gt;=Impostazioni!$B$4,A334&lt;=Impostazioni!$B$5),1,0)</f>
        <v>1</v>
      </c>
      <c r="D334" s="77" t="n">
        <f aca="false">IF(COUNTIF(Impostazioni!$A$27:$A$56,A334)&gt;0,1,0)</f>
        <v>0</v>
      </c>
      <c r="E334" s="77" t="n">
        <f aca="false">IF(COUNTIFS(Impostazioni!$A$16:$A$23,"&lt;="&amp;A334,Impostazioni!$B$16:$B$23,"&gt;="&amp;A334)&gt;0,1,0)</f>
        <v>1</v>
      </c>
      <c r="F334" s="77" t="n">
        <f aca="false">IF(AND(C334=1,D334=0,E334=0),1,0)</f>
        <v>0</v>
      </c>
      <c r="G334" s="77" t="n">
        <f aca="false">(YEAR(A334)-YEAR(Impostazioni!$B$11))*12+MONTH(A334)-MONTH(Impostazioni!$B$11)</f>
        <v>10</v>
      </c>
      <c r="H334" s="77" t="n">
        <f aca="false">INT((DAY(A334)-1+WEEKDAY(DATE(YEAR(A334),MONTH(A334),1),2)-1)/7)</f>
        <v>4</v>
      </c>
      <c r="I334" s="77" t="str">
        <f aca="false">IF(G334&gt;11,"",INDEX(Calendario!$A$14:$G$193,4+15*G334+2*H334,WEEKDAY(A334,2))&amp;"")</f>
        <v/>
      </c>
      <c r="J334" s="77" t="n">
        <f aca="false">IF(AND(F334=1,I334="A"),1,0)</f>
        <v>0</v>
      </c>
      <c r="K334" s="77" t="n">
        <f aca="false">IF(AND(F334=1,I334="G"),1,0)</f>
        <v>0</v>
      </c>
      <c r="L334" s="77" t="n">
        <f aca="false">IF(AND(F334=1,A334&gt;=Impostazioni!$B$8),1,0)</f>
        <v>0</v>
      </c>
      <c r="M334" s="77" t="n">
        <f aca="false">IF(C334=0,3,IF(OR(D334=1,E334=1),2,IF(WEEKDAY(A334,2)&gt;5,1,0)))</f>
        <v>2</v>
      </c>
      <c r="N334" s="77" t="str">
        <f aca="false">IF(OR(I334="A",I334="G"),MAX(N$1:N333)+1,"")</f>
        <v/>
      </c>
    </row>
    <row r="335" customFormat="false" ht="15" hidden="false" customHeight="false" outlineLevel="0" collapsed="false">
      <c r="A335" s="75" t="n">
        <f aca="false">A334+1</f>
        <v>46629</v>
      </c>
      <c r="B335" s="76" t="n">
        <f aca="false">DATE(YEAR(A335),MONTH(A335),1)</f>
        <v>46600</v>
      </c>
      <c r="C335" s="77" t="n">
        <f aca="false">IF(AND(A335&gt;=Impostazioni!$B$4,A335&lt;=Impostazioni!$B$5),1,0)</f>
        <v>1</v>
      </c>
      <c r="D335" s="77" t="n">
        <f aca="false">IF(COUNTIF(Impostazioni!$A$27:$A$56,A335)&gt;0,1,0)</f>
        <v>0</v>
      </c>
      <c r="E335" s="77" t="n">
        <f aca="false">IF(COUNTIFS(Impostazioni!$A$16:$A$23,"&lt;="&amp;A335,Impostazioni!$B$16:$B$23,"&gt;="&amp;A335)&gt;0,1,0)</f>
        <v>1</v>
      </c>
      <c r="F335" s="77" t="n">
        <f aca="false">IF(AND(C335=1,D335=0,E335=0),1,0)</f>
        <v>0</v>
      </c>
      <c r="G335" s="77" t="n">
        <f aca="false">(YEAR(A335)-YEAR(Impostazioni!$B$11))*12+MONTH(A335)-MONTH(Impostazioni!$B$11)</f>
        <v>10</v>
      </c>
      <c r="H335" s="77" t="n">
        <f aca="false">INT((DAY(A335)-1+WEEKDAY(DATE(YEAR(A335),MONTH(A335),1),2)-1)/7)</f>
        <v>5</v>
      </c>
      <c r="I335" s="77" t="str">
        <f aca="false">IF(G335&gt;11,"",INDEX(Calendario!$A$14:$G$193,4+15*G335+2*H335,WEEKDAY(A335,2))&amp;"")</f>
        <v/>
      </c>
      <c r="J335" s="77" t="n">
        <f aca="false">IF(AND(F335=1,I335="A"),1,0)</f>
        <v>0</v>
      </c>
      <c r="K335" s="77" t="n">
        <f aca="false">IF(AND(F335=1,I335="G"),1,0)</f>
        <v>0</v>
      </c>
      <c r="L335" s="77" t="n">
        <f aca="false">IF(AND(F335=1,A335&gt;=Impostazioni!$B$8),1,0)</f>
        <v>0</v>
      </c>
      <c r="M335" s="77" t="n">
        <f aca="false">IF(C335=0,3,IF(OR(D335=1,E335=1),2,IF(WEEKDAY(A335,2)&gt;5,1,0)))</f>
        <v>2</v>
      </c>
      <c r="N335" s="77" t="str">
        <f aca="false">IF(OR(I335="A",I335="G"),MAX(N$1:N334)+1,"")</f>
        <v/>
      </c>
    </row>
    <row r="336" customFormat="false" ht="15" hidden="false" customHeight="false" outlineLevel="0" collapsed="false">
      <c r="A336" s="75" t="n">
        <f aca="false">A335+1</f>
        <v>46630</v>
      </c>
      <c r="B336" s="76" t="n">
        <f aca="false">DATE(YEAR(A336),MONTH(A336),1)</f>
        <v>46600</v>
      </c>
      <c r="C336" s="77" t="n">
        <f aca="false">IF(AND(A336&gt;=Impostazioni!$B$4,A336&lt;=Impostazioni!$B$5),1,0)</f>
        <v>1</v>
      </c>
      <c r="D336" s="77" t="n">
        <f aca="false">IF(COUNTIF(Impostazioni!$A$27:$A$56,A336)&gt;0,1,0)</f>
        <v>0</v>
      </c>
      <c r="E336" s="77" t="n">
        <f aca="false">IF(COUNTIFS(Impostazioni!$A$16:$A$23,"&lt;="&amp;A336,Impostazioni!$B$16:$B$23,"&gt;="&amp;A336)&gt;0,1,0)</f>
        <v>1</v>
      </c>
      <c r="F336" s="77" t="n">
        <f aca="false">IF(AND(C336=1,D336=0,E336=0),1,0)</f>
        <v>0</v>
      </c>
      <c r="G336" s="77" t="n">
        <f aca="false">(YEAR(A336)-YEAR(Impostazioni!$B$11))*12+MONTH(A336)-MONTH(Impostazioni!$B$11)</f>
        <v>10</v>
      </c>
      <c r="H336" s="77" t="n">
        <f aca="false">INT((DAY(A336)-1+WEEKDAY(DATE(YEAR(A336),MONTH(A336),1),2)-1)/7)</f>
        <v>5</v>
      </c>
      <c r="I336" s="77" t="str">
        <f aca="false">IF(G336&gt;11,"",INDEX(Calendario!$A$14:$G$193,4+15*G336+2*H336,WEEKDAY(A336,2))&amp;"")</f>
        <v/>
      </c>
      <c r="J336" s="77" t="n">
        <f aca="false">IF(AND(F336=1,I336="A"),1,0)</f>
        <v>0</v>
      </c>
      <c r="K336" s="77" t="n">
        <f aca="false">IF(AND(F336=1,I336="G"),1,0)</f>
        <v>0</v>
      </c>
      <c r="L336" s="77" t="n">
        <f aca="false">IF(AND(F336=1,A336&gt;=Impostazioni!$B$8),1,0)</f>
        <v>0</v>
      </c>
      <c r="M336" s="77" t="n">
        <f aca="false">IF(C336=0,3,IF(OR(D336=1,E336=1),2,IF(WEEKDAY(A336,2)&gt;5,1,0)))</f>
        <v>2</v>
      </c>
      <c r="N336" s="77" t="str">
        <f aca="false">IF(OR(I336="A",I336="G"),MAX(N$1:N335)+1,"")</f>
        <v/>
      </c>
    </row>
    <row r="337" customFormat="false" ht="15" hidden="false" customHeight="false" outlineLevel="0" collapsed="false">
      <c r="A337" s="75" t="n">
        <f aca="false">A336+1</f>
        <v>46631</v>
      </c>
      <c r="B337" s="76" t="n">
        <f aca="false">DATE(YEAR(A337),MONTH(A337),1)</f>
        <v>46631</v>
      </c>
      <c r="C337" s="77" t="n">
        <f aca="false">IF(AND(A337&gt;=Impostazioni!$B$4,A337&lt;=Impostazioni!$B$5),1,0)</f>
        <v>1</v>
      </c>
      <c r="D337" s="77" t="n">
        <f aca="false">IF(COUNTIF(Impostazioni!$A$27:$A$56,A337)&gt;0,1,0)</f>
        <v>0</v>
      </c>
      <c r="E337" s="77" t="n">
        <f aca="false">IF(COUNTIFS(Impostazioni!$A$16:$A$23,"&lt;="&amp;A337,Impostazioni!$B$16:$B$23,"&gt;="&amp;A337)&gt;0,1,0)</f>
        <v>0</v>
      </c>
      <c r="F337" s="77" t="n">
        <f aca="false">IF(AND(C337=1,D337=0,E337=0),1,0)</f>
        <v>1</v>
      </c>
      <c r="G337" s="77" t="n">
        <f aca="false">(YEAR(A337)-YEAR(Impostazioni!$B$11))*12+MONTH(A337)-MONTH(Impostazioni!$B$11)</f>
        <v>11</v>
      </c>
      <c r="H337" s="77" t="n">
        <f aca="false">INT((DAY(A337)-1+WEEKDAY(DATE(YEAR(A337),MONTH(A337),1),2)-1)/7)</f>
        <v>0</v>
      </c>
      <c r="I337" s="77" t="str">
        <f aca="false">IF(G337&gt;11,"",INDEX(Calendario!$A$14:$G$193,4+15*G337+2*H337,WEEKDAY(A337,2))&amp;"")</f>
        <v/>
      </c>
      <c r="J337" s="77" t="n">
        <f aca="false">IF(AND(F337=1,I337="A"),1,0)</f>
        <v>0</v>
      </c>
      <c r="K337" s="77" t="n">
        <f aca="false">IF(AND(F337=1,I337="G"),1,0)</f>
        <v>0</v>
      </c>
      <c r="L337" s="77" t="n">
        <f aca="false">IF(AND(F337=1,A337&gt;=Impostazioni!$B$8),1,0)</f>
        <v>1</v>
      </c>
      <c r="M337" s="77" t="n">
        <f aca="false">IF(C337=0,3,IF(OR(D337=1,E337=1),2,IF(WEEKDAY(A337,2)&gt;5,1,0)))</f>
        <v>0</v>
      </c>
      <c r="N337" s="77" t="str">
        <f aca="false">IF(OR(I337="A",I337="G"),MAX(N$1:N336)+1,"")</f>
        <v/>
      </c>
    </row>
    <row r="338" customFormat="false" ht="15" hidden="false" customHeight="false" outlineLevel="0" collapsed="false">
      <c r="A338" s="75" t="n">
        <f aca="false">A337+1</f>
        <v>46632</v>
      </c>
      <c r="B338" s="76" t="n">
        <f aca="false">DATE(YEAR(A338),MONTH(A338),1)</f>
        <v>46631</v>
      </c>
      <c r="C338" s="77" t="n">
        <f aca="false">IF(AND(A338&gt;=Impostazioni!$B$4,A338&lt;=Impostazioni!$B$5),1,0)</f>
        <v>1</v>
      </c>
      <c r="D338" s="77" t="n">
        <f aca="false">IF(COUNTIF(Impostazioni!$A$27:$A$56,A338)&gt;0,1,0)</f>
        <v>0</v>
      </c>
      <c r="E338" s="77" t="n">
        <f aca="false">IF(COUNTIFS(Impostazioni!$A$16:$A$23,"&lt;="&amp;A338,Impostazioni!$B$16:$B$23,"&gt;="&amp;A338)&gt;0,1,0)</f>
        <v>0</v>
      </c>
      <c r="F338" s="77" t="n">
        <f aca="false">IF(AND(C338=1,D338=0,E338=0),1,0)</f>
        <v>1</v>
      </c>
      <c r="G338" s="77" t="n">
        <f aca="false">(YEAR(A338)-YEAR(Impostazioni!$B$11))*12+MONTH(A338)-MONTH(Impostazioni!$B$11)</f>
        <v>11</v>
      </c>
      <c r="H338" s="77" t="n">
        <f aca="false">INT((DAY(A338)-1+WEEKDAY(DATE(YEAR(A338),MONTH(A338),1),2)-1)/7)</f>
        <v>0</v>
      </c>
      <c r="I338" s="77" t="str">
        <f aca="false">IF(G338&gt;11,"",INDEX(Calendario!$A$14:$G$193,4+15*G338+2*H338,WEEKDAY(A338,2))&amp;"")</f>
        <v/>
      </c>
      <c r="J338" s="77" t="n">
        <f aca="false">IF(AND(F338=1,I338="A"),1,0)</f>
        <v>0</v>
      </c>
      <c r="K338" s="77" t="n">
        <f aca="false">IF(AND(F338=1,I338="G"),1,0)</f>
        <v>0</v>
      </c>
      <c r="L338" s="77" t="n">
        <f aca="false">IF(AND(F338=1,A338&gt;=Impostazioni!$B$8),1,0)</f>
        <v>1</v>
      </c>
      <c r="M338" s="77" t="n">
        <f aca="false">IF(C338=0,3,IF(OR(D338=1,E338=1),2,IF(WEEKDAY(A338,2)&gt;5,1,0)))</f>
        <v>0</v>
      </c>
      <c r="N338" s="77" t="str">
        <f aca="false">IF(OR(I338="A",I338="G"),MAX(N$1:N337)+1,"")</f>
        <v/>
      </c>
    </row>
    <row r="339" customFormat="false" ht="15" hidden="false" customHeight="false" outlineLevel="0" collapsed="false">
      <c r="A339" s="75" t="n">
        <f aca="false">A338+1</f>
        <v>46633</v>
      </c>
      <c r="B339" s="76" t="n">
        <f aca="false">DATE(YEAR(A339),MONTH(A339),1)</f>
        <v>46631</v>
      </c>
      <c r="C339" s="77" t="n">
        <f aca="false">IF(AND(A339&gt;=Impostazioni!$B$4,A339&lt;=Impostazioni!$B$5),1,0)</f>
        <v>1</v>
      </c>
      <c r="D339" s="77" t="n">
        <f aca="false">IF(COUNTIF(Impostazioni!$A$27:$A$56,A339)&gt;0,1,0)</f>
        <v>0</v>
      </c>
      <c r="E339" s="77" t="n">
        <f aca="false">IF(COUNTIFS(Impostazioni!$A$16:$A$23,"&lt;="&amp;A339,Impostazioni!$B$16:$B$23,"&gt;="&amp;A339)&gt;0,1,0)</f>
        <v>0</v>
      </c>
      <c r="F339" s="77" t="n">
        <f aca="false">IF(AND(C339=1,D339=0,E339=0),1,0)</f>
        <v>1</v>
      </c>
      <c r="G339" s="77" t="n">
        <f aca="false">(YEAR(A339)-YEAR(Impostazioni!$B$11))*12+MONTH(A339)-MONTH(Impostazioni!$B$11)</f>
        <v>11</v>
      </c>
      <c r="H339" s="77" t="n">
        <f aca="false">INT((DAY(A339)-1+WEEKDAY(DATE(YEAR(A339),MONTH(A339),1),2)-1)/7)</f>
        <v>0</v>
      </c>
      <c r="I339" s="77" t="str">
        <f aca="false">IF(G339&gt;11,"",INDEX(Calendario!$A$14:$G$193,4+15*G339+2*H339,WEEKDAY(A339,2))&amp;"")</f>
        <v/>
      </c>
      <c r="J339" s="77" t="n">
        <f aca="false">IF(AND(F339=1,I339="A"),1,0)</f>
        <v>0</v>
      </c>
      <c r="K339" s="77" t="n">
        <f aca="false">IF(AND(F339=1,I339="G"),1,0)</f>
        <v>0</v>
      </c>
      <c r="L339" s="77" t="n">
        <f aca="false">IF(AND(F339=1,A339&gt;=Impostazioni!$B$8),1,0)</f>
        <v>1</v>
      </c>
      <c r="M339" s="77" t="n">
        <f aca="false">IF(C339=0,3,IF(OR(D339=1,E339=1),2,IF(WEEKDAY(A339,2)&gt;5,1,0)))</f>
        <v>0</v>
      </c>
      <c r="N339" s="77" t="str">
        <f aca="false">IF(OR(I339="A",I339="G"),MAX(N$1:N338)+1,"")</f>
        <v/>
      </c>
    </row>
    <row r="340" customFormat="false" ht="15" hidden="false" customHeight="false" outlineLevel="0" collapsed="false">
      <c r="A340" s="75" t="n">
        <f aca="false">A339+1</f>
        <v>46634</v>
      </c>
      <c r="B340" s="76" t="n">
        <f aca="false">DATE(YEAR(A340),MONTH(A340),1)</f>
        <v>46631</v>
      </c>
      <c r="C340" s="77" t="n">
        <f aca="false">IF(AND(A340&gt;=Impostazioni!$B$4,A340&lt;=Impostazioni!$B$5),1,0)</f>
        <v>1</v>
      </c>
      <c r="D340" s="77" t="n">
        <f aca="false">IF(COUNTIF(Impostazioni!$A$27:$A$56,A340)&gt;0,1,0)</f>
        <v>0</v>
      </c>
      <c r="E340" s="77" t="n">
        <f aca="false">IF(COUNTIFS(Impostazioni!$A$16:$A$23,"&lt;="&amp;A340,Impostazioni!$B$16:$B$23,"&gt;="&amp;A340)&gt;0,1,0)</f>
        <v>0</v>
      </c>
      <c r="F340" s="77" t="n">
        <f aca="false">IF(AND(C340=1,D340=0,E340=0),1,0)</f>
        <v>1</v>
      </c>
      <c r="G340" s="77" t="n">
        <f aca="false">(YEAR(A340)-YEAR(Impostazioni!$B$11))*12+MONTH(A340)-MONTH(Impostazioni!$B$11)</f>
        <v>11</v>
      </c>
      <c r="H340" s="77" t="n">
        <f aca="false">INT((DAY(A340)-1+WEEKDAY(DATE(YEAR(A340),MONTH(A340),1),2)-1)/7)</f>
        <v>0</v>
      </c>
      <c r="I340" s="77" t="str">
        <f aca="false">IF(G340&gt;11,"",INDEX(Calendario!$A$14:$G$193,4+15*G340+2*H340,WEEKDAY(A340,2))&amp;"")</f>
        <v/>
      </c>
      <c r="J340" s="77" t="n">
        <f aca="false">IF(AND(F340=1,I340="A"),1,0)</f>
        <v>0</v>
      </c>
      <c r="K340" s="77" t="n">
        <f aca="false">IF(AND(F340=1,I340="G"),1,0)</f>
        <v>0</v>
      </c>
      <c r="L340" s="77" t="n">
        <f aca="false">IF(AND(F340=1,A340&gt;=Impostazioni!$B$8),1,0)</f>
        <v>1</v>
      </c>
      <c r="M340" s="77" t="n">
        <f aca="false">IF(C340=0,3,IF(OR(D340=1,E340=1),2,IF(WEEKDAY(A340,2)&gt;5,1,0)))</f>
        <v>1</v>
      </c>
      <c r="N340" s="77" t="str">
        <f aca="false">IF(OR(I340="A",I340="G"),MAX(N$1:N339)+1,"")</f>
        <v/>
      </c>
    </row>
    <row r="341" customFormat="false" ht="15" hidden="false" customHeight="false" outlineLevel="0" collapsed="false">
      <c r="A341" s="75" t="n">
        <f aca="false">A340+1</f>
        <v>46635</v>
      </c>
      <c r="B341" s="76" t="n">
        <f aca="false">DATE(YEAR(A341),MONTH(A341),1)</f>
        <v>46631</v>
      </c>
      <c r="C341" s="77" t="n">
        <f aca="false">IF(AND(A341&gt;=Impostazioni!$B$4,A341&lt;=Impostazioni!$B$5),1,0)</f>
        <v>1</v>
      </c>
      <c r="D341" s="77" t="n">
        <f aca="false">IF(COUNTIF(Impostazioni!$A$27:$A$56,A341)&gt;0,1,0)</f>
        <v>0</v>
      </c>
      <c r="E341" s="77" t="n">
        <f aca="false">IF(COUNTIFS(Impostazioni!$A$16:$A$23,"&lt;="&amp;A341,Impostazioni!$B$16:$B$23,"&gt;="&amp;A341)&gt;0,1,0)</f>
        <v>0</v>
      </c>
      <c r="F341" s="77" t="n">
        <f aca="false">IF(AND(C341=1,D341=0,E341=0),1,0)</f>
        <v>1</v>
      </c>
      <c r="G341" s="77" t="n">
        <f aca="false">(YEAR(A341)-YEAR(Impostazioni!$B$11))*12+MONTH(A341)-MONTH(Impostazioni!$B$11)</f>
        <v>11</v>
      </c>
      <c r="H341" s="77" t="n">
        <f aca="false">INT((DAY(A341)-1+WEEKDAY(DATE(YEAR(A341),MONTH(A341),1),2)-1)/7)</f>
        <v>0</v>
      </c>
      <c r="I341" s="77" t="str">
        <f aca="false">IF(G341&gt;11,"",INDEX(Calendario!$A$14:$G$193,4+15*G341+2*H341,WEEKDAY(A341,2))&amp;"")</f>
        <v/>
      </c>
      <c r="J341" s="77" t="n">
        <f aca="false">IF(AND(F341=1,I341="A"),1,0)</f>
        <v>0</v>
      </c>
      <c r="K341" s="77" t="n">
        <f aca="false">IF(AND(F341=1,I341="G"),1,0)</f>
        <v>0</v>
      </c>
      <c r="L341" s="77" t="n">
        <f aca="false">IF(AND(F341=1,A341&gt;=Impostazioni!$B$8),1,0)</f>
        <v>1</v>
      </c>
      <c r="M341" s="77" t="n">
        <f aca="false">IF(C341=0,3,IF(OR(D341=1,E341=1),2,IF(WEEKDAY(A341,2)&gt;5,1,0)))</f>
        <v>1</v>
      </c>
      <c r="N341" s="77" t="str">
        <f aca="false">IF(OR(I341="A",I341="G"),MAX(N$1:N340)+1,"")</f>
        <v/>
      </c>
    </row>
    <row r="342" customFormat="false" ht="15" hidden="false" customHeight="false" outlineLevel="0" collapsed="false">
      <c r="A342" s="75" t="n">
        <f aca="false">A341+1</f>
        <v>46636</v>
      </c>
      <c r="B342" s="76" t="n">
        <f aca="false">DATE(YEAR(A342),MONTH(A342),1)</f>
        <v>46631</v>
      </c>
      <c r="C342" s="77" t="n">
        <f aca="false">IF(AND(A342&gt;=Impostazioni!$B$4,A342&lt;=Impostazioni!$B$5),1,0)</f>
        <v>1</v>
      </c>
      <c r="D342" s="77" t="n">
        <f aca="false">IF(COUNTIF(Impostazioni!$A$27:$A$56,A342)&gt;0,1,0)</f>
        <v>0</v>
      </c>
      <c r="E342" s="77" t="n">
        <f aca="false">IF(COUNTIFS(Impostazioni!$A$16:$A$23,"&lt;="&amp;A342,Impostazioni!$B$16:$B$23,"&gt;="&amp;A342)&gt;0,1,0)</f>
        <v>0</v>
      </c>
      <c r="F342" s="77" t="n">
        <f aca="false">IF(AND(C342=1,D342=0,E342=0),1,0)</f>
        <v>1</v>
      </c>
      <c r="G342" s="77" t="n">
        <f aca="false">(YEAR(A342)-YEAR(Impostazioni!$B$11))*12+MONTH(A342)-MONTH(Impostazioni!$B$11)</f>
        <v>11</v>
      </c>
      <c r="H342" s="77" t="n">
        <f aca="false">INT((DAY(A342)-1+WEEKDAY(DATE(YEAR(A342),MONTH(A342),1),2)-1)/7)</f>
        <v>1</v>
      </c>
      <c r="I342" s="77" t="str">
        <f aca="false">IF(G342&gt;11,"",INDEX(Calendario!$A$14:$G$193,4+15*G342+2*H342,WEEKDAY(A342,2))&amp;"")</f>
        <v/>
      </c>
      <c r="J342" s="77" t="n">
        <f aca="false">IF(AND(F342=1,I342="A"),1,0)</f>
        <v>0</v>
      </c>
      <c r="K342" s="77" t="n">
        <f aca="false">IF(AND(F342=1,I342="G"),1,0)</f>
        <v>0</v>
      </c>
      <c r="L342" s="77" t="n">
        <f aca="false">IF(AND(F342=1,A342&gt;=Impostazioni!$B$8),1,0)</f>
        <v>1</v>
      </c>
      <c r="M342" s="77" t="n">
        <f aca="false">IF(C342=0,3,IF(OR(D342=1,E342=1),2,IF(WEEKDAY(A342,2)&gt;5,1,0)))</f>
        <v>0</v>
      </c>
      <c r="N342" s="77" t="str">
        <f aca="false">IF(OR(I342="A",I342="G"),MAX(N$1:N341)+1,"")</f>
        <v/>
      </c>
    </row>
    <row r="343" customFormat="false" ht="15" hidden="false" customHeight="false" outlineLevel="0" collapsed="false">
      <c r="A343" s="75" t="n">
        <f aca="false">A342+1</f>
        <v>46637</v>
      </c>
      <c r="B343" s="76" t="n">
        <f aca="false">DATE(YEAR(A343),MONTH(A343),1)</f>
        <v>46631</v>
      </c>
      <c r="C343" s="77" t="n">
        <f aca="false">IF(AND(A343&gt;=Impostazioni!$B$4,A343&lt;=Impostazioni!$B$5),1,0)</f>
        <v>1</v>
      </c>
      <c r="D343" s="77" t="n">
        <f aca="false">IF(COUNTIF(Impostazioni!$A$27:$A$56,A343)&gt;0,1,0)</f>
        <v>0</v>
      </c>
      <c r="E343" s="77" t="n">
        <f aca="false">IF(COUNTIFS(Impostazioni!$A$16:$A$23,"&lt;="&amp;A343,Impostazioni!$B$16:$B$23,"&gt;="&amp;A343)&gt;0,1,0)</f>
        <v>0</v>
      </c>
      <c r="F343" s="77" t="n">
        <f aca="false">IF(AND(C343=1,D343=0,E343=0),1,0)</f>
        <v>1</v>
      </c>
      <c r="G343" s="77" t="n">
        <f aca="false">(YEAR(A343)-YEAR(Impostazioni!$B$11))*12+MONTH(A343)-MONTH(Impostazioni!$B$11)</f>
        <v>11</v>
      </c>
      <c r="H343" s="77" t="n">
        <f aca="false">INT((DAY(A343)-1+WEEKDAY(DATE(YEAR(A343),MONTH(A343),1),2)-1)/7)</f>
        <v>1</v>
      </c>
      <c r="I343" s="77" t="str">
        <f aca="false">IF(G343&gt;11,"",INDEX(Calendario!$A$14:$G$193,4+15*G343+2*H343,WEEKDAY(A343,2))&amp;"")</f>
        <v/>
      </c>
      <c r="J343" s="77" t="n">
        <f aca="false">IF(AND(F343=1,I343="A"),1,0)</f>
        <v>0</v>
      </c>
      <c r="K343" s="77" t="n">
        <f aca="false">IF(AND(F343=1,I343="G"),1,0)</f>
        <v>0</v>
      </c>
      <c r="L343" s="77" t="n">
        <f aca="false">IF(AND(F343=1,A343&gt;=Impostazioni!$B$8),1,0)</f>
        <v>1</v>
      </c>
      <c r="M343" s="77" t="n">
        <f aca="false">IF(C343=0,3,IF(OR(D343=1,E343=1),2,IF(WEEKDAY(A343,2)&gt;5,1,0)))</f>
        <v>0</v>
      </c>
      <c r="N343" s="77" t="str">
        <f aca="false">IF(OR(I343="A",I343="G"),MAX(N$1:N342)+1,"")</f>
        <v/>
      </c>
    </row>
    <row r="344" customFormat="false" ht="15" hidden="false" customHeight="false" outlineLevel="0" collapsed="false">
      <c r="A344" s="75" t="n">
        <f aca="false">A343+1</f>
        <v>46638</v>
      </c>
      <c r="B344" s="76" t="n">
        <f aca="false">DATE(YEAR(A344),MONTH(A344),1)</f>
        <v>46631</v>
      </c>
      <c r="C344" s="77" t="n">
        <f aca="false">IF(AND(A344&gt;=Impostazioni!$B$4,A344&lt;=Impostazioni!$B$5),1,0)</f>
        <v>1</v>
      </c>
      <c r="D344" s="77" t="n">
        <f aca="false">IF(COUNTIF(Impostazioni!$A$27:$A$56,A344)&gt;0,1,0)</f>
        <v>0</v>
      </c>
      <c r="E344" s="77" t="n">
        <f aca="false">IF(COUNTIFS(Impostazioni!$A$16:$A$23,"&lt;="&amp;A344,Impostazioni!$B$16:$B$23,"&gt;="&amp;A344)&gt;0,1,0)</f>
        <v>0</v>
      </c>
      <c r="F344" s="77" t="n">
        <f aca="false">IF(AND(C344=1,D344=0,E344=0),1,0)</f>
        <v>1</v>
      </c>
      <c r="G344" s="77" t="n">
        <f aca="false">(YEAR(A344)-YEAR(Impostazioni!$B$11))*12+MONTH(A344)-MONTH(Impostazioni!$B$11)</f>
        <v>11</v>
      </c>
      <c r="H344" s="77" t="n">
        <f aca="false">INT((DAY(A344)-1+WEEKDAY(DATE(YEAR(A344),MONTH(A344),1),2)-1)/7)</f>
        <v>1</v>
      </c>
      <c r="I344" s="77" t="str">
        <f aca="false">IF(G344&gt;11,"",INDEX(Calendario!$A$14:$G$193,4+15*G344+2*H344,WEEKDAY(A344,2))&amp;"")</f>
        <v/>
      </c>
      <c r="J344" s="77" t="n">
        <f aca="false">IF(AND(F344=1,I344="A"),1,0)</f>
        <v>0</v>
      </c>
      <c r="K344" s="77" t="n">
        <f aca="false">IF(AND(F344=1,I344="G"),1,0)</f>
        <v>0</v>
      </c>
      <c r="L344" s="77" t="n">
        <f aca="false">IF(AND(F344=1,A344&gt;=Impostazioni!$B$8),1,0)</f>
        <v>1</v>
      </c>
      <c r="M344" s="77" t="n">
        <f aca="false">IF(C344=0,3,IF(OR(D344=1,E344=1),2,IF(WEEKDAY(A344,2)&gt;5,1,0)))</f>
        <v>0</v>
      </c>
      <c r="N344" s="77" t="str">
        <f aca="false">IF(OR(I344="A",I344="G"),MAX(N$1:N343)+1,"")</f>
        <v/>
      </c>
    </row>
    <row r="345" customFormat="false" ht="15" hidden="false" customHeight="false" outlineLevel="0" collapsed="false">
      <c r="A345" s="75" t="n">
        <f aca="false">A344+1</f>
        <v>46639</v>
      </c>
      <c r="B345" s="76" t="n">
        <f aca="false">DATE(YEAR(A345),MONTH(A345),1)</f>
        <v>46631</v>
      </c>
      <c r="C345" s="77" t="n">
        <f aca="false">IF(AND(A345&gt;=Impostazioni!$B$4,A345&lt;=Impostazioni!$B$5),1,0)</f>
        <v>1</v>
      </c>
      <c r="D345" s="77" t="n">
        <f aca="false">IF(COUNTIF(Impostazioni!$A$27:$A$56,A345)&gt;0,1,0)</f>
        <v>0</v>
      </c>
      <c r="E345" s="77" t="n">
        <f aca="false">IF(COUNTIFS(Impostazioni!$A$16:$A$23,"&lt;="&amp;A345,Impostazioni!$B$16:$B$23,"&gt;="&amp;A345)&gt;0,1,0)</f>
        <v>0</v>
      </c>
      <c r="F345" s="77" t="n">
        <f aca="false">IF(AND(C345=1,D345=0,E345=0),1,0)</f>
        <v>1</v>
      </c>
      <c r="G345" s="77" t="n">
        <f aca="false">(YEAR(A345)-YEAR(Impostazioni!$B$11))*12+MONTH(A345)-MONTH(Impostazioni!$B$11)</f>
        <v>11</v>
      </c>
      <c r="H345" s="77" t="n">
        <f aca="false">INT((DAY(A345)-1+WEEKDAY(DATE(YEAR(A345),MONTH(A345),1),2)-1)/7)</f>
        <v>1</v>
      </c>
      <c r="I345" s="77" t="str">
        <f aca="false">IF(G345&gt;11,"",INDEX(Calendario!$A$14:$G$193,4+15*G345+2*H345,WEEKDAY(A345,2))&amp;"")</f>
        <v/>
      </c>
      <c r="J345" s="77" t="n">
        <f aca="false">IF(AND(F345=1,I345="A"),1,0)</f>
        <v>0</v>
      </c>
      <c r="K345" s="77" t="n">
        <f aca="false">IF(AND(F345=1,I345="G"),1,0)</f>
        <v>0</v>
      </c>
      <c r="L345" s="77" t="n">
        <f aca="false">IF(AND(F345=1,A345&gt;=Impostazioni!$B$8),1,0)</f>
        <v>1</v>
      </c>
      <c r="M345" s="77" t="n">
        <f aca="false">IF(C345=0,3,IF(OR(D345=1,E345=1),2,IF(WEEKDAY(A345,2)&gt;5,1,0)))</f>
        <v>0</v>
      </c>
      <c r="N345" s="77" t="str">
        <f aca="false">IF(OR(I345="A",I345="G"),MAX(N$1:N344)+1,"")</f>
        <v/>
      </c>
    </row>
    <row r="346" customFormat="false" ht="15" hidden="false" customHeight="false" outlineLevel="0" collapsed="false">
      <c r="A346" s="75" t="n">
        <f aca="false">A345+1</f>
        <v>46640</v>
      </c>
      <c r="B346" s="76" t="n">
        <f aca="false">DATE(YEAR(A346),MONTH(A346),1)</f>
        <v>46631</v>
      </c>
      <c r="C346" s="77" t="n">
        <f aca="false">IF(AND(A346&gt;=Impostazioni!$B$4,A346&lt;=Impostazioni!$B$5),1,0)</f>
        <v>1</v>
      </c>
      <c r="D346" s="77" t="n">
        <f aca="false">IF(COUNTIF(Impostazioni!$A$27:$A$56,A346)&gt;0,1,0)</f>
        <v>0</v>
      </c>
      <c r="E346" s="77" t="n">
        <f aca="false">IF(COUNTIFS(Impostazioni!$A$16:$A$23,"&lt;="&amp;A346,Impostazioni!$B$16:$B$23,"&gt;="&amp;A346)&gt;0,1,0)</f>
        <v>0</v>
      </c>
      <c r="F346" s="77" t="n">
        <f aca="false">IF(AND(C346=1,D346=0,E346=0),1,0)</f>
        <v>1</v>
      </c>
      <c r="G346" s="77" t="n">
        <f aca="false">(YEAR(A346)-YEAR(Impostazioni!$B$11))*12+MONTH(A346)-MONTH(Impostazioni!$B$11)</f>
        <v>11</v>
      </c>
      <c r="H346" s="77" t="n">
        <f aca="false">INT((DAY(A346)-1+WEEKDAY(DATE(YEAR(A346),MONTH(A346),1),2)-1)/7)</f>
        <v>1</v>
      </c>
      <c r="I346" s="77" t="str">
        <f aca="false">IF(G346&gt;11,"",INDEX(Calendario!$A$14:$G$193,4+15*G346+2*H346,WEEKDAY(A346,2))&amp;"")</f>
        <v/>
      </c>
      <c r="J346" s="77" t="n">
        <f aca="false">IF(AND(F346=1,I346="A"),1,0)</f>
        <v>0</v>
      </c>
      <c r="K346" s="77" t="n">
        <f aca="false">IF(AND(F346=1,I346="G"),1,0)</f>
        <v>0</v>
      </c>
      <c r="L346" s="77" t="n">
        <f aca="false">IF(AND(F346=1,A346&gt;=Impostazioni!$B$8),1,0)</f>
        <v>1</v>
      </c>
      <c r="M346" s="77" t="n">
        <f aca="false">IF(C346=0,3,IF(OR(D346=1,E346=1),2,IF(WEEKDAY(A346,2)&gt;5,1,0)))</f>
        <v>0</v>
      </c>
      <c r="N346" s="77" t="str">
        <f aca="false">IF(OR(I346="A",I346="G"),MAX(N$1:N345)+1,"")</f>
        <v/>
      </c>
    </row>
    <row r="347" customFormat="false" ht="15" hidden="false" customHeight="false" outlineLevel="0" collapsed="false">
      <c r="A347" s="75" t="n">
        <f aca="false">A346+1</f>
        <v>46641</v>
      </c>
      <c r="B347" s="76" t="n">
        <f aca="false">DATE(YEAR(A347),MONTH(A347),1)</f>
        <v>46631</v>
      </c>
      <c r="C347" s="77" t="n">
        <f aca="false">IF(AND(A347&gt;=Impostazioni!$B$4,A347&lt;=Impostazioni!$B$5),1,0)</f>
        <v>1</v>
      </c>
      <c r="D347" s="77" t="n">
        <f aca="false">IF(COUNTIF(Impostazioni!$A$27:$A$56,A347)&gt;0,1,0)</f>
        <v>0</v>
      </c>
      <c r="E347" s="77" t="n">
        <f aca="false">IF(COUNTIFS(Impostazioni!$A$16:$A$23,"&lt;="&amp;A347,Impostazioni!$B$16:$B$23,"&gt;="&amp;A347)&gt;0,1,0)</f>
        <v>0</v>
      </c>
      <c r="F347" s="77" t="n">
        <f aca="false">IF(AND(C347=1,D347=0,E347=0),1,0)</f>
        <v>1</v>
      </c>
      <c r="G347" s="77" t="n">
        <f aca="false">(YEAR(A347)-YEAR(Impostazioni!$B$11))*12+MONTH(A347)-MONTH(Impostazioni!$B$11)</f>
        <v>11</v>
      </c>
      <c r="H347" s="77" t="n">
        <f aca="false">INT((DAY(A347)-1+WEEKDAY(DATE(YEAR(A347),MONTH(A347),1),2)-1)/7)</f>
        <v>1</v>
      </c>
      <c r="I347" s="77" t="str">
        <f aca="false">IF(G347&gt;11,"",INDEX(Calendario!$A$14:$G$193,4+15*G347+2*H347,WEEKDAY(A347,2))&amp;"")</f>
        <v/>
      </c>
      <c r="J347" s="77" t="n">
        <f aca="false">IF(AND(F347=1,I347="A"),1,0)</f>
        <v>0</v>
      </c>
      <c r="K347" s="77" t="n">
        <f aca="false">IF(AND(F347=1,I347="G"),1,0)</f>
        <v>0</v>
      </c>
      <c r="L347" s="77" t="n">
        <f aca="false">IF(AND(F347=1,A347&gt;=Impostazioni!$B$8),1,0)</f>
        <v>1</v>
      </c>
      <c r="M347" s="77" t="n">
        <f aca="false">IF(C347=0,3,IF(OR(D347=1,E347=1),2,IF(WEEKDAY(A347,2)&gt;5,1,0)))</f>
        <v>1</v>
      </c>
      <c r="N347" s="77" t="str">
        <f aca="false">IF(OR(I347="A",I347="G"),MAX(N$1:N346)+1,"")</f>
        <v/>
      </c>
    </row>
    <row r="348" customFormat="false" ht="15" hidden="false" customHeight="false" outlineLevel="0" collapsed="false">
      <c r="A348" s="75" t="n">
        <f aca="false">A347+1</f>
        <v>46642</v>
      </c>
      <c r="B348" s="76" t="n">
        <f aca="false">DATE(YEAR(A348),MONTH(A348),1)</f>
        <v>46631</v>
      </c>
      <c r="C348" s="77" t="n">
        <f aca="false">IF(AND(A348&gt;=Impostazioni!$B$4,A348&lt;=Impostazioni!$B$5),1,0)</f>
        <v>1</v>
      </c>
      <c r="D348" s="77" t="n">
        <f aca="false">IF(COUNTIF(Impostazioni!$A$27:$A$56,A348)&gt;0,1,0)</f>
        <v>0</v>
      </c>
      <c r="E348" s="77" t="n">
        <f aca="false">IF(COUNTIFS(Impostazioni!$A$16:$A$23,"&lt;="&amp;A348,Impostazioni!$B$16:$B$23,"&gt;="&amp;A348)&gt;0,1,0)</f>
        <v>0</v>
      </c>
      <c r="F348" s="77" t="n">
        <f aca="false">IF(AND(C348=1,D348=0,E348=0),1,0)</f>
        <v>1</v>
      </c>
      <c r="G348" s="77" t="n">
        <f aca="false">(YEAR(A348)-YEAR(Impostazioni!$B$11))*12+MONTH(A348)-MONTH(Impostazioni!$B$11)</f>
        <v>11</v>
      </c>
      <c r="H348" s="77" t="n">
        <f aca="false">INT((DAY(A348)-1+WEEKDAY(DATE(YEAR(A348),MONTH(A348),1),2)-1)/7)</f>
        <v>1</v>
      </c>
      <c r="I348" s="77" t="str">
        <f aca="false">IF(G348&gt;11,"",INDEX(Calendario!$A$14:$G$193,4+15*G348+2*H348,WEEKDAY(A348,2))&amp;"")</f>
        <v/>
      </c>
      <c r="J348" s="77" t="n">
        <f aca="false">IF(AND(F348=1,I348="A"),1,0)</f>
        <v>0</v>
      </c>
      <c r="K348" s="77" t="n">
        <f aca="false">IF(AND(F348=1,I348="G"),1,0)</f>
        <v>0</v>
      </c>
      <c r="L348" s="77" t="n">
        <f aca="false">IF(AND(F348=1,A348&gt;=Impostazioni!$B$8),1,0)</f>
        <v>1</v>
      </c>
      <c r="M348" s="77" t="n">
        <f aca="false">IF(C348=0,3,IF(OR(D348=1,E348=1),2,IF(WEEKDAY(A348,2)&gt;5,1,0)))</f>
        <v>1</v>
      </c>
      <c r="N348" s="77" t="str">
        <f aca="false">IF(OR(I348="A",I348="G"),MAX(N$1:N347)+1,"")</f>
        <v/>
      </c>
    </row>
    <row r="349" customFormat="false" ht="15" hidden="false" customHeight="false" outlineLevel="0" collapsed="false">
      <c r="A349" s="75" t="n">
        <f aca="false">A348+1</f>
        <v>46643</v>
      </c>
      <c r="B349" s="76" t="n">
        <f aca="false">DATE(YEAR(A349),MONTH(A349),1)</f>
        <v>46631</v>
      </c>
      <c r="C349" s="77" t="n">
        <f aca="false">IF(AND(A349&gt;=Impostazioni!$B$4,A349&lt;=Impostazioni!$B$5),1,0)</f>
        <v>1</v>
      </c>
      <c r="D349" s="77" t="n">
        <f aca="false">IF(COUNTIF(Impostazioni!$A$27:$A$56,A349)&gt;0,1,0)</f>
        <v>0</v>
      </c>
      <c r="E349" s="77" t="n">
        <f aca="false">IF(COUNTIFS(Impostazioni!$A$16:$A$23,"&lt;="&amp;A349,Impostazioni!$B$16:$B$23,"&gt;="&amp;A349)&gt;0,1,0)</f>
        <v>0</v>
      </c>
      <c r="F349" s="77" t="n">
        <f aca="false">IF(AND(C349=1,D349=0,E349=0),1,0)</f>
        <v>1</v>
      </c>
      <c r="G349" s="77" t="n">
        <f aca="false">(YEAR(A349)-YEAR(Impostazioni!$B$11))*12+MONTH(A349)-MONTH(Impostazioni!$B$11)</f>
        <v>11</v>
      </c>
      <c r="H349" s="77" t="n">
        <f aca="false">INT((DAY(A349)-1+WEEKDAY(DATE(YEAR(A349),MONTH(A349),1),2)-1)/7)</f>
        <v>2</v>
      </c>
      <c r="I349" s="77" t="str">
        <f aca="false">IF(G349&gt;11,"",INDEX(Calendario!$A$14:$G$193,4+15*G349+2*H349,WEEKDAY(A349,2))&amp;"")</f>
        <v/>
      </c>
      <c r="J349" s="77" t="n">
        <f aca="false">IF(AND(F349=1,I349="A"),1,0)</f>
        <v>0</v>
      </c>
      <c r="K349" s="77" t="n">
        <f aca="false">IF(AND(F349=1,I349="G"),1,0)</f>
        <v>0</v>
      </c>
      <c r="L349" s="77" t="n">
        <f aca="false">IF(AND(F349=1,A349&gt;=Impostazioni!$B$8),1,0)</f>
        <v>1</v>
      </c>
      <c r="M349" s="77" t="n">
        <f aca="false">IF(C349=0,3,IF(OR(D349=1,E349=1),2,IF(WEEKDAY(A349,2)&gt;5,1,0)))</f>
        <v>0</v>
      </c>
      <c r="N349" s="77" t="str">
        <f aca="false">IF(OR(I349="A",I349="G"),MAX(N$1:N348)+1,"")</f>
        <v/>
      </c>
    </row>
    <row r="350" customFormat="false" ht="15" hidden="false" customHeight="false" outlineLevel="0" collapsed="false">
      <c r="A350" s="75" t="n">
        <f aca="false">A349+1</f>
        <v>46644</v>
      </c>
      <c r="B350" s="76" t="n">
        <f aca="false">DATE(YEAR(A350),MONTH(A350),1)</f>
        <v>46631</v>
      </c>
      <c r="C350" s="77" t="n">
        <f aca="false">IF(AND(A350&gt;=Impostazioni!$B$4,A350&lt;=Impostazioni!$B$5),1,0)</f>
        <v>1</v>
      </c>
      <c r="D350" s="77" t="n">
        <f aca="false">IF(COUNTIF(Impostazioni!$A$27:$A$56,A350)&gt;0,1,0)</f>
        <v>0</v>
      </c>
      <c r="E350" s="77" t="n">
        <f aca="false">IF(COUNTIFS(Impostazioni!$A$16:$A$23,"&lt;="&amp;A350,Impostazioni!$B$16:$B$23,"&gt;="&amp;A350)&gt;0,1,0)</f>
        <v>0</v>
      </c>
      <c r="F350" s="77" t="n">
        <f aca="false">IF(AND(C350=1,D350=0,E350=0),1,0)</f>
        <v>1</v>
      </c>
      <c r="G350" s="77" t="n">
        <f aca="false">(YEAR(A350)-YEAR(Impostazioni!$B$11))*12+MONTH(A350)-MONTH(Impostazioni!$B$11)</f>
        <v>11</v>
      </c>
      <c r="H350" s="77" t="n">
        <f aca="false">INT((DAY(A350)-1+WEEKDAY(DATE(YEAR(A350),MONTH(A350),1),2)-1)/7)</f>
        <v>2</v>
      </c>
      <c r="I350" s="77" t="str">
        <f aca="false">IF(G350&gt;11,"",INDEX(Calendario!$A$14:$G$193,4+15*G350+2*H350,WEEKDAY(A350,2))&amp;"")</f>
        <v/>
      </c>
      <c r="J350" s="77" t="n">
        <f aca="false">IF(AND(F350=1,I350="A"),1,0)</f>
        <v>0</v>
      </c>
      <c r="K350" s="77" t="n">
        <f aca="false">IF(AND(F350=1,I350="G"),1,0)</f>
        <v>0</v>
      </c>
      <c r="L350" s="77" t="n">
        <f aca="false">IF(AND(F350=1,A350&gt;=Impostazioni!$B$8),1,0)</f>
        <v>1</v>
      </c>
      <c r="M350" s="77" t="n">
        <f aca="false">IF(C350=0,3,IF(OR(D350=1,E350=1),2,IF(WEEKDAY(A350,2)&gt;5,1,0)))</f>
        <v>0</v>
      </c>
      <c r="N350" s="77" t="str">
        <f aca="false">IF(OR(I350="A",I350="G"),MAX(N$1:N349)+1,"")</f>
        <v/>
      </c>
    </row>
    <row r="351" customFormat="false" ht="15" hidden="false" customHeight="false" outlineLevel="0" collapsed="false">
      <c r="A351" s="75" t="n">
        <f aca="false">A350+1</f>
        <v>46645</v>
      </c>
      <c r="B351" s="76" t="n">
        <f aca="false">DATE(YEAR(A351),MONTH(A351),1)</f>
        <v>46631</v>
      </c>
      <c r="C351" s="77" t="n">
        <f aca="false">IF(AND(A351&gt;=Impostazioni!$B$4,A351&lt;=Impostazioni!$B$5),1,0)</f>
        <v>1</v>
      </c>
      <c r="D351" s="77" t="n">
        <f aca="false">IF(COUNTIF(Impostazioni!$A$27:$A$56,A351)&gt;0,1,0)</f>
        <v>0</v>
      </c>
      <c r="E351" s="77" t="n">
        <f aca="false">IF(COUNTIFS(Impostazioni!$A$16:$A$23,"&lt;="&amp;A351,Impostazioni!$B$16:$B$23,"&gt;="&amp;A351)&gt;0,1,0)</f>
        <v>0</v>
      </c>
      <c r="F351" s="77" t="n">
        <f aca="false">IF(AND(C351=1,D351=0,E351=0),1,0)</f>
        <v>1</v>
      </c>
      <c r="G351" s="77" t="n">
        <f aca="false">(YEAR(A351)-YEAR(Impostazioni!$B$11))*12+MONTH(A351)-MONTH(Impostazioni!$B$11)</f>
        <v>11</v>
      </c>
      <c r="H351" s="77" t="n">
        <f aca="false">INT((DAY(A351)-1+WEEKDAY(DATE(YEAR(A351),MONTH(A351),1),2)-1)/7)</f>
        <v>2</v>
      </c>
      <c r="I351" s="77" t="str">
        <f aca="false">IF(G351&gt;11,"",INDEX(Calendario!$A$14:$G$193,4+15*G351+2*H351,WEEKDAY(A351,2))&amp;"")</f>
        <v/>
      </c>
      <c r="J351" s="77" t="n">
        <f aca="false">IF(AND(F351=1,I351="A"),1,0)</f>
        <v>0</v>
      </c>
      <c r="K351" s="77" t="n">
        <f aca="false">IF(AND(F351=1,I351="G"),1,0)</f>
        <v>0</v>
      </c>
      <c r="L351" s="77" t="n">
        <f aca="false">IF(AND(F351=1,A351&gt;=Impostazioni!$B$8),1,0)</f>
        <v>1</v>
      </c>
      <c r="M351" s="77" t="n">
        <f aca="false">IF(C351=0,3,IF(OR(D351=1,E351=1),2,IF(WEEKDAY(A351,2)&gt;5,1,0)))</f>
        <v>0</v>
      </c>
      <c r="N351" s="77" t="str">
        <f aca="false">IF(OR(I351="A",I351="G"),MAX(N$1:N350)+1,"")</f>
        <v/>
      </c>
    </row>
    <row r="352" customFormat="false" ht="15" hidden="false" customHeight="false" outlineLevel="0" collapsed="false">
      <c r="A352" s="75" t="n">
        <f aca="false">A351+1</f>
        <v>46646</v>
      </c>
      <c r="B352" s="76" t="n">
        <f aca="false">DATE(YEAR(A352),MONTH(A352),1)</f>
        <v>46631</v>
      </c>
      <c r="C352" s="77" t="n">
        <f aca="false">IF(AND(A352&gt;=Impostazioni!$B$4,A352&lt;=Impostazioni!$B$5),1,0)</f>
        <v>1</v>
      </c>
      <c r="D352" s="77" t="n">
        <f aca="false">IF(COUNTIF(Impostazioni!$A$27:$A$56,A352)&gt;0,1,0)</f>
        <v>0</v>
      </c>
      <c r="E352" s="77" t="n">
        <f aca="false">IF(COUNTIFS(Impostazioni!$A$16:$A$23,"&lt;="&amp;A352,Impostazioni!$B$16:$B$23,"&gt;="&amp;A352)&gt;0,1,0)</f>
        <v>0</v>
      </c>
      <c r="F352" s="77" t="n">
        <f aca="false">IF(AND(C352=1,D352=0,E352=0),1,0)</f>
        <v>1</v>
      </c>
      <c r="G352" s="77" t="n">
        <f aca="false">(YEAR(A352)-YEAR(Impostazioni!$B$11))*12+MONTH(A352)-MONTH(Impostazioni!$B$11)</f>
        <v>11</v>
      </c>
      <c r="H352" s="77" t="n">
        <f aca="false">INT((DAY(A352)-1+WEEKDAY(DATE(YEAR(A352),MONTH(A352),1),2)-1)/7)</f>
        <v>2</v>
      </c>
      <c r="I352" s="77" t="str">
        <f aca="false">IF(G352&gt;11,"",INDEX(Calendario!$A$14:$G$193,4+15*G352+2*H352,WEEKDAY(A352,2))&amp;"")</f>
        <v/>
      </c>
      <c r="J352" s="77" t="n">
        <f aca="false">IF(AND(F352=1,I352="A"),1,0)</f>
        <v>0</v>
      </c>
      <c r="K352" s="77" t="n">
        <f aca="false">IF(AND(F352=1,I352="G"),1,0)</f>
        <v>0</v>
      </c>
      <c r="L352" s="77" t="n">
        <f aca="false">IF(AND(F352=1,A352&gt;=Impostazioni!$B$8),1,0)</f>
        <v>1</v>
      </c>
      <c r="M352" s="77" t="n">
        <f aca="false">IF(C352=0,3,IF(OR(D352=1,E352=1),2,IF(WEEKDAY(A352,2)&gt;5,1,0)))</f>
        <v>0</v>
      </c>
      <c r="N352" s="77" t="str">
        <f aca="false">IF(OR(I352="A",I352="G"),MAX(N$1:N351)+1,"")</f>
        <v/>
      </c>
    </row>
    <row r="353" customFormat="false" ht="15" hidden="false" customHeight="false" outlineLevel="0" collapsed="false">
      <c r="A353" s="75" t="n">
        <f aca="false">A352+1</f>
        <v>46647</v>
      </c>
      <c r="B353" s="76" t="n">
        <f aca="false">DATE(YEAR(A353),MONTH(A353),1)</f>
        <v>46631</v>
      </c>
      <c r="C353" s="77" t="n">
        <f aca="false">IF(AND(A353&gt;=Impostazioni!$B$4,A353&lt;=Impostazioni!$B$5),1,0)</f>
        <v>1</v>
      </c>
      <c r="D353" s="77" t="n">
        <f aca="false">IF(COUNTIF(Impostazioni!$A$27:$A$56,A353)&gt;0,1,0)</f>
        <v>0</v>
      </c>
      <c r="E353" s="77" t="n">
        <f aca="false">IF(COUNTIFS(Impostazioni!$A$16:$A$23,"&lt;="&amp;A353,Impostazioni!$B$16:$B$23,"&gt;="&amp;A353)&gt;0,1,0)</f>
        <v>0</v>
      </c>
      <c r="F353" s="77" t="n">
        <f aca="false">IF(AND(C353=1,D353=0,E353=0),1,0)</f>
        <v>1</v>
      </c>
      <c r="G353" s="77" t="n">
        <f aca="false">(YEAR(A353)-YEAR(Impostazioni!$B$11))*12+MONTH(A353)-MONTH(Impostazioni!$B$11)</f>
        <v>11</v>
      </c>
      <c r="H353" s="77" t="n">
        <f aca="false">INT((DAY(A353)-1+WEEKDAY(DATE(YEAR(A353),MONTH(A353),1),2)-1)/7)</f>
        <v>2</v>
      </c>
      <c r="I353" s="77" t="str">
        <f aca="false">IF(G353&gt;11,"",INDEX(Calendario!$A$14:$G$193,4+15*G353+2*H353,WEEKDAY(A353,2))&amp;"")</f>
        <v/>
      </c>
      <c r="J353" s="77" t="n">
        <f aca="false">IF(AND(F353=1,I353="A"),1,0)</f>
        <v>0</v>
      </c>
      <c r="K353" s="77" t="n">
        <f aca="false">IF(AND(F353=1,I353="G"),1,0)</f>
        <v>0</v>
      </c>
      <c r="L353" s="77" t="n">
        <f aca="false">IF(AND(F353=1,A353&gt;=Impostazioni!$B$8),1,0)</f>
        <v>1</v>
      </c>
      <c r="M353" s="77" t="n">
        <f aca="false">IF(C353=0,3,IF(OR(D353=1,E353=1),2,IF(WEEKDAY(A353,2)&gt;5,1,0)))</f>
        <v>0</v>
      </c>
      <c r="N353" s="77" t="str">
        <f aca="false">IF(OR(I353="A",I353="G"),MAX(N$1:N352)+1,"")</f>
        <v/>
      </c>
    </row>
    <row r="354" customFormat="false" ht="15" hidden="false" customHeight="false" outlineLevel="0" collapsed="false">
      <c r="A354" s="75" t="n">
        <f aca="false">A353+1</f>
        <v>46648</v>
      </c>
      <c r="B354" s="76" t="n">
        <f aca="false">DATE(YEAR(A354),MONTH(A354),1)</f>
        <v>46631</v>
      </c>
      <c r="C354" s="77" t="n">
        <f aca="false">IF(AND(A354&gt;=Impostazioni!$B$4,A354&lt;=Impostazioni!$B$5),1,0)</f>
        <v>1</v>
      </c>
      <c r="D354" s="77" t="n">
        <f aca="false">IF(COUNTIF(Impostazioni!$A$27:$A$56,A354)&gt;0,1,0)</f>
        <v>0</v>
      </c>
      <c r="E354" s="77" t="n">
        <f aca="false">IF(COUNTIFS(Impostazioni!$A$16:$A$23,"&lt;="&amp;A354,Impostazioni!$B$16:$B$23,"&gt;="&amp;A354)&gt;0,1,0)</f>
        <v>0</v>
      </c>
      <c r="F354" s="77" t="n">
        <f aca="false">IF(AND(C354=1,D354=0,E354=0),1,0)</f>
        <v>1</v>
      </c>
      <c r="G354" s="77" t="n">
        <f aca="false">(YEAR(A354)-YEAR(Impostazioni!$B$11))*12+MONTH(A354)-MONTH(Impostazioni!$B$11)</f>
        <v>11</v>
      </c>
      <c r="H354" s="77" t="n">
        <f aca="false">INT((DAY(A354)-1+WEEKDAY(DATE(YEAR(A354),MONTH(A354),1),2)-1)/7)</f>
        <v>2</v>
      </c>
      <c r="I354" s="77" t="str">
        <f aca="false">IF(G354&gt;11,"",INDEX(Calendario!$A$14:$G$193,4+15*G354+2*H354,WEEKDAY(A354,2))&amp;"")</f>
        <v/>
      </c>
      <c r="J354" s="77" t="n">
        <f aca="false">IF(AND(F354=1,I354="A"),1,0)</f>
        <v>0</v>
      </c>
      <c r="K354" s="77" t="n">
        <f aca="false">IF(AND(F354=1,I354="G"),1,0)</f>
        <v>0</v>
      </c>
      <c r="L354" s="77" t="n">
        <f aca="false">IF(AND(F354=1,A354&gt;=Impostazioni!$B$8),1,0)</f>
        <v>1</v>
      </c>
      <c r="M354" s="77" t="n">
        <f aca="false">IF(C354=0,3,IF(OR(D354=1,E354=1),2,IF(WEEKDAY(A354,2)&gt;5,1,0)))</f>
        <v>1</v>
      </c>
      <c r="N354" s="77" t="str">
        <f aca="false">IF(OR(I354="A",I354="G"),MAX(N$1:N353)+1,"")</f>
        <v/>
      </c>
    </row>
    <row r="355" customFormat="false" ht="15" hidden="false" customHeight="false" outlineLevel="0" collapsed="false">
      <c r="A355" s="75" t="n">
        <f aca="false">A354+1</f>
        <v>46649</v>
      </c>
      <c r="B355" s="76" t="n">
        <f aca="false">DATE(YEAR(A355),MONTH(A355),1)</f>
        <v>46631</v>
      </c>
      <c r="C355" s="77" t="n">
        <f aca="false">IF(AND(A355&gt;=Impostazioni!$B$4,A355&lt;=Impostazioni!$B$5),1,0)</f>
        <v>1</v>
      </c>
      <c r="D355" s="77" t="n">
        <f aca="false">IF(COUNTIF(Impostazioni!$A$27:$A$56,A355)&gt;0,1,0)</f>
        <v>0</v>
      </c>
      <c r="E355" s="77" t="n">
        <f aca="false">IF(COUNTIFS(Impostazioni!$A$16:$A$23,"&lt;="&amp;A355,Impostazioni!$B$16:$B$23,"&gt;="&amp;A355)&gt;0,1,0)</f>
        <v>0</v>
      </c>
      <c r="F355" s="77" t="n">
        <f aca="false">IF(AND(C355=1,D355=0,E355=0),1,0)</f>
        <v>1</v>
      </c>
      <c r="G355" s="77" t="n">
        <f aca="false">(YEAR(A355)-YEAR(Impostazioni!$B$11))*12+MONTH(A355)-MONTH(Impostazioni!$B$11)</f>
        <v>11</v>
      </c>
      <c r="H355" s="77" t="n">
        <f aca="false">INT((DAY(A355)-1+WEEKDAY(DATE(YEAR(A355),MONTH(A355),1),2)-1)/7)</f>
        <v>2</v>
      </c>
      <c r="I355" s="77" t="str">
        <f aca="false">IF(G355&gt;11,"",INDEX(Calendario!$A$14:$G$193,4+15*G355+2*H355,WEEKDAY(A355,2))&amp;"")</f>
        <v/>
      </c>
      <c r="J355" s="77" t="n">
        <f aca="false">IF(AND(F355=1,I355="A"),1,0)</f>
        <v>0</v>
      </c>
      <c r="K355" s="77" t="n">
        <f aca="false">IF(AND(F355=1,I355="G"),1,0)</f>
        <v>0</v>
      </c>
      <c r="L355" s="77" t="n">
        <f aca="false">IF(AND(F355=1,A355&gt;=Impostazioni!$B$8),1,0)</f>
        <v>1</v>
      </c>
      <c r="M355" s="77" t="n">
        <f aca="false">IF(C355=0,3,IF(OR(D355=1,E355=1),2,IF(WEEKDAY(A355,2)&gt;5,1,0)))</f>
        <v>1</v>
      </c>
      <c r="N355" s="77" t="str">
        <f aca="false">IF(OR(I355="A",I355="G"),MAX(N$1:N354)+1,"")</f>
        <v/>
      </c>
    </row>
    <row r="356" customFormat="false" ht="15" hidden="false" customHeight="false" outlineLevel="0" collapsed="false">
      <c r="A356" s="75" t="n">
        <f aca="false">A355+1</f>
        <v>46650</v>
      </c>
      <c r="B356" s="76" t="n">
        <f aca="false">DATE(YEAR(A356),MONTH(A356),1)</f>
        <v>46631</v>
      </c>
      <c r="C356" s="77" t="n">
        <f aca="false">IF(AND(A356&gt;=Impostazioni!$B$4,A356&lt;=Impostazioni!$B$5),1,0)</f>
        <v>1</v>
      </c>
      <c r="D356" s="77" t="n">
        <f aca="false">IF(COUNTIF(Impostazioni!$A$27:$A$56,A356)&gt;0,1,0)</f>
        <v>0</v>
      </c>
      <c r="E356" s="77" t="n">
        <f aca="false">IF(COUNTIFS(Impostazioni!$A$16:$A$23,"&lt;="&amp;A356,Impostazioni!$B$16:$B$23,"&gt;="&amp;A356)&gt;0,1,0)</f>
        <v>0</v>
      </c>
      <c r="F356" s="77" t="n">
        <f aca="false">IF(AND(C356=1,D356=0,E356=0),1,0)</f>
        <v>1</v>
      </c>
      <c r="G356" s="77" t="n">
        <f aca="false">(YEAR(A356)-YEAR(Impostazioni!$B$11))*12+MONTH(A356)-MONTH(Impostazioni!$B$11)</f>
        <v>11</v>
      </c>
      <c r="H356" s="77" t="n">
        <f aca="false">INT((DAY(A356)-1+WEEKDAY(DATE(YEAR(A356),MONTH(A356),1),2)-1)/7)</f>
        <v>3</v>
      </c>
      <c r="I356" s="77" t="str">
        <f aca="false">IF(G356&gt;11,"",INDEX(Calendario!$A$14:$G$193,4+15*G356+2*H356,WEEKDAY(A356,2))&amp;"")</f>
        <v/>
      </c>
      <c r="J356" s="77" t="n">
        <f aca="false">IF(AND(F356=1,I356="A"),1,0)</f>
        <v>0</v>
      </c>
      <c r="K356" s="77" t="n">
        <f aca="false">IF(AND(F356=1,I356="G"),1,0)</f>
        <v>0</v>
      </c>
      <c r="L356" s="77" t="n">
        <f aca="false">IF(AND(F356=1,A356&gt;=Impostazioni!$B$8),1,0)</f>
        <v>1</v>
      </c>
      <c r="M356" s="77" t="n">
        <f aca="false">IF(C356=0,3,IF(OR(D356=1,E356=1),2,IF(WEEKDAY(A356,2)&gt;5,1,0)))</f>
        <v>0</v>
      </c>
      <c r="N356" s="77" t="str">
        <f aca="false">IF(OR(I356="A",I356="G"),MAX(N$1:N355)+1,"")</f>
        <v/>
      </c>
    </row>
    <row r="357" customFormat="false" ht="15" hidden="false" customHeight="false" outlineLevel="0" collapsed="false">
      <c r="A357" s="75" t="n">
        <f aca="false">A356+1</f>
        <v>46651</v>
      </c>
      <c r="B357" s="76" t="n">
        <f aca="false">DATE(YEAR(A357),MONTH(A357),1)</f>
        <v>46631</v>
      </c>
      <c r="C357" s="77" t="n">
        <f aca="false">IF(AND(A357&gt;=Impostazioni!$B$4,A357&lt;=Impostazioni!$B$5),1,0)</f>
        <v>1</v>
      </c>
      <c r="D357" s="77" t="n">
        <f aca="false">IF(COUNTIF(Impostazioni!$A$27:$A$56,A357)&gt;0,1,0)</f>
        <v>0</v>
      </c>
      <c r="E357" s="77" t="n">
        <f aca="false">IF(COUNTIFS(Impostazioni!$A$16:$A$23,"&lt;="&amp;A357,Impostazioni!$B$16:$B$23,"&gt;="&amp;A357)&gt;0,1,0)</f>
        <v>0</v>
      </c>
      <c r="F357" s="77" t="n">
        <f aca="false">IF(AND(C357=1,D357=0,E357=0),1,0)</f>
        <v>1</v>
      </c>
      <c r="G357" s="77" t="n">
        <f aca="false">(YEAR(A357)-YEAR(Impostazioni!$B$11))*12+MONTH(A357)-MONTH(Impostazioni!$B$11)</f>
        <v>11</v>
      </c>
      <c r="H357" s="77" t="n">
        <f aca="false">INT((DAY(A357)-1+WEEKDAY(DATE(YEAR(A357),MONTH(A357),1),2)-1)/7)</f>
        <v>3</v>
      </c>
      <c r="I357" s="77" t="str">
        <f aca="false">IF(G357&gt;11,"",INDEX(Calendario!$A$14:$G$193,4+15*G357+2*H357,WEEKDAY(A357,2))&amp;"")</f>
        <v/>
      </c>
      <c r="J357" s="77" t="n">
        <f aca="false">IF(AND(F357=1,I357="A"),1,0)</f>
        <v>0</v>
      </c>
      <c r="K357" s="77" t="n">
        <f aca="false">IF(AND(F357=1,I357="G"),1,0)</f>
        <v>0</v>
      </c>
      <c r="L357" s="77" t="n">
        <f aca="false">IF(AND(F357=1,A357&gt;=Impostazioni!$B$8),1,0)</f>
        <v>1</v>
      </c>
      <c r="M357" s="77" t="n">
        <f aca="false">IF(C357=0,3,IF(OR(D357=1,E357=1),2,IF(WEEKDAY(A357,2)&gt;5,1,0)))</f>
        <v>0</v>
      </c>
      <c r="N357" s="77" t="str">
        <f aca="false">IF(OR(I357="A",I357="G"),MAX(N$1:N356)+1,"")</f>
        <v/>
      </c>
    </row>
    <row r="358" customFormat="false" ht="15" hidden="false" customHeight="false" outlineLevel="0" collapsed="false">
      <c r="A358" s="75" t="n">
        <f aca="false">A357+1</f>
        <v>46652</v>
      </c>
      <c r="B358" s="76" t="n">
        <f aca="false">DATE(YEAR(A358),MONTH(A358),1)</f>
        <v>46631</v>
      </c>
      <c r="C358" s="77" t="n">
        <f aca="false">IF(AND(A358&gt;=Impostazioni!$B$4,A358&lt;=Impostazioni!$B$5),1,0)</f>
        <v>1</v>
      </c>
      <c r="D358" s="77" t="n">
        <f aca="false">IF(COUNTIF(Impostazioni!$A$27:$A$56,A358)&gt;0,1,0)</f>
        <v>0</v>
      </c>
      <c r="E358" s="77" t="n">
        <f aca="false">IF(COUNTIFS(Impostazioni!$A$16:$A$23,"&lt;="&amp;A358,Impostazioni!$B$16:$B$23,"&gt;="&amp;A358)&gt;0,1,0)</f>
        <v>0</v>
      </c>
      <c r="F358" s="77" t="n">
        <f aca="false">IF(AND(C358=1,D358=0,E358=0),1,0)</f>
        <v>1</v>
      </c>
      <c r="G358" s="77" t="n">
        <f aca="false">(YEAR(A358)-YEAR(Impostazioni!$B$11))*12+MONTH(A358)-MONTH(Impostazioni!$B$11)</f>
        <v>11</v>
      </c>
      <c r="H358" s="77" t="n">
        <f aca="false">INT((DAY(A358)-1+WEEKDAY(DATE(YEAR(A358),MONTH(A358),1),2)-1)/7)</f>
        <v>3</v>
      </c>
      <c r="I358" s="77" t="str">
        <f aca="false">IF(G358&gt;11,"",INDEX(Calendario!$A$14:$G$193,4+15*G358+2*H358,WEEKDAY(A358,2))&amp;"")</f>
        <v/>
      </c>
      <c r="J358" s="77" t="n">
        <f aca="false">IF(AND(F358=1,I358="A"),1,0)</f>
        <v>0</v>
      </c>
      <c r="K358" s="77" t="n">
        <f aca="false">IF(AND(F358=1,I358="G"),1,0)</f>
        <v>0</v>
      </c>
      <c r="L358" s="77" t="n">
        <f aca="false">IF(AND(F358=1,A358&gt;=Impostazioni!$B$8),1,0)</f>
        <v>1</v>
      </c>
      <c r="M358" s="77" t="n">
        <f aca="false">IF(C358=0,3,IF(OR(D358=1,E358=1),2,IF(WEEKDAY(A358,2)&gt;5,1,0)))</f>
        <v>0</v>
      </c>
      <c r="N358" s="77" t="str">
        <f aca="false">IF(OR(I358="A",I358="G"),MAX(N$1:N357)+1,"")</f>
        <v/>
      </c>
    </row>
    <row r="359" customFormat="false" ht="15" hidden="false" customHeight="false" outlineLevel="0" collapsed="false">
      <c r="A359" s="75" t="n">
        <f aca="false">A358+1</f>
        <v>46653</v>
      </c>
      <c r="B359" s="76" t="n">
        <f aca="false">DATE(YEAR(A359),MONTH(A359),1)</f>
        <v>46631</v>
      </c>
      <c r="C359" s="77" t="n">
        <f aca="false">IF(AND(A359&gt;=Impostazioni!$B$4,A359&lt;=Impostazioni!$B$5),1,0)</f>
        <v>1</v>
      </c>
      <c r="D359" s="77" t="n">
        <f aca="false">IF(COUNTIF(Impostazioni!$A$27:$A$56,A359)&gt;0,1,0)</f>
        <v>0</v>
      </c>
      <c r="E359" s="77" t="n">
        <f aca="false">IF(COUNTIFS(Impostazioni!$A$16:$A$23,"&lt;="&amp;A359,Impostazioni!$B$16:$B$23,"&gt;="&amp;A359)&gt;0,1,0)</f>
        <v>0</v>
      </c>
      <c r="F359" s="77" t="n">
        <f aca="false">IF(AND(C359=1,D359=0,E359=0),1,0)</f>
        <v>1</v>
      </c>
      <c r="G359" s="77" t="n">
        <f aca="false">(YEAR(A359)-YEAR(Impostazioni!$B$11))*12+MONTH(A359)-MONTH(Impostazioni!$B$11)</f>
        <v>11</v>
      </c>
      <c r="H359" s="77" t="n">
        <f aca="false">INT((DAY(A359)-1+WEEKDAY(DATE(YEAR(A359),MONTH(A359),1),2)-1)/7)</f>
        <v>3</v>
      </c>
      <c r="I359" s="77" t="str">
        <f aca="false">IF(G359&gt;11,"",INDEX(Calendario!$A$14:$G$193,4+15*G359+2*H359,WEEKDAY(A359,2))&amp;"")</f>
        <v/>
      </c>
      <c r="J359" s="77" t="n">
        <f aca="false">IF(AND(F359=1,I359="A"),1,0)</f>
        <v>0</v>
      </c>
      <c r="K359" s="77" t="n">
        <f aca="false">IF(AND(F359=1,I359="G"),1,0)</f>
        <v>0</v>
      </c>
      <c r="L359" s="77" t="n">
        <f aca="false">IF(AND(F359=1,A359&gt;=Impostazioni!$B$8),1,0)</f>
        <v>1</v>
      </c>
      <c r="M359" s="77" t="n">
        <f aca="false">IF(C359=0,3,IF(OR(D359=1,E359=1),2,IF(WEEKDAY(A359,2)&gt;5,1,0)))</f>
        <v>0</v>
      </c>
      <c r="N359" s="77" t="str">
        <f aca="false">IF(OR(I359="A",I359="G"),MAX(N$1:N358)+1,"")</f>
        <v/>
      </c>
    </row>
    <row r="360" customFormat="false" ht="15" hidden="false" customHeight="false" outlineLevel="0" collapsed="false">
      <c r="A360" s="75" t="n">
        <f aca="false">A359+1</f>
        <v>46654</v>
      </c>
      <c r="B360" s="76" t="n">
        <f aca="false">DATE(YEAR(A360),MONTH(A360),1)</f>
        <v>46631</v>
      </c>
      <c r="C360" s="77" t="n">
        <f aca="false">IF(AND(A360&gt;=Impostazioni!$B$4,A360&lt;=Impostazioni!$B$5),1,0)</f>
        <v>1</v>
      </c>
      <c r="D360" s="77" t="n">
        <f aca="false">IF(COUNTIF(Impostazioni!$A$27:$A$56,A360)&gt;0,1,0)</f>
        <v>0</v>
      </c>
      <c r="E360" s="77" t="n">
        <f aca="false">IF(COUNTIFS(Impostazioni!$A$16:$A$23,"&lt;="&amp;A360,Impostazioni!$B$16:$B$23,"&gt;="&amp;A360)&gt;0,1,0)</f>
        <v>0</v>
      </c>
      <c r="F360" s="77" t="n">
        <f aca="false">IF(AND(C360=1,D360=0,E360=0),1,0)</f>
        <v>1</v>
      </c>
      <c r="G360" s="77" t="n">
        <f aca="false">(YEAR(A360)-YEAR(Impostazioni!$B$11))*12+MONTH(A360)-MONTH(Impostazioni!$B$11)</f>
        <v>11</v>
      </c>
      <c r="H360" s="77" t="n">
        <f aca="false">INT((DAY(A360)-1+WEEKDAY(DATE(YEAR(A360),MONTH(A360),1),2)-1)/7)</f>
        <v>3</v>
      </c>
      <c r="I360" s="77" t="str">
        <f aca="false">IF(G360&gt;11,"",INDEX(Calendario!$A$14:$G$193,4+15*G360+2*H360,WEEKDAY(A360,2))&amp;"")</f>
        <v/>
      </c>
      <c r="J360" s="77" t="n">
        <f aca="false">IF(AND(F360=1,I360="A"),1,0)</f>
        <v>0</v>
      </c>
      <c r="K360" s="77" t="n">
        <f aca="false">IF(AND(F360=1,I360="G"),1,0)</f>
        <v>0</v>
      </c>
      <c r="L360" s="77" t="n">
        <f aca="false">IF(AND(F360=1,A360&gt;=Impostazioni!$B$8),1,0)</f>
        <v>1</v>
      </c>
      <c r="M360" s="77" t="n">
        <f aca="false">IF(C360=0,3,IF(OR(D360=1,E360=1),2,IF(WEEKDAY(A360,2)&gt;5,1,0)))</f>
        <v>0</v>
      </c>
      <c r="N360" s="77" t="str">
        <f aca="false">IF(OR(I360="A",I360="G"),MAX(N$1:N359)+1,"")</f>
        <v/>
      </c>
    </row>
    <row r="361" customFormat="false" ht="15" hidden="false" customHeight="false" outlineLevel="0" collapsed="false">
      <c r="A361" s="75" t="n">
        <f aca="false">A360+1</f>
        <v>46655</v>
      </c>
      <c r="B361" s="76" t="n">
        <f aca="false">DATE(YEAR(A361),MONTH(A361),1)</f>
        <v>46631</v>
      </c>
      <c r="C361" s="77" t="n">
        <f aca="false">IF(AND(A361&gt;=Impostazioni!$B$4,A361&lt;=Impostazioni!$B$5),1,0)</f>
        <v>1</v>
      </c>
      <c r="D361" s="77" t="n">
        <f aca="false">IF(COUNTIF(Impostazioni!$A$27:$A$56,A361)&gt;0,1,0)</f>
        <v>0</v>
      </c>
      <c r="E361" s="77" t="n">
        <f aca="false">IF(COUNTIFS(Impostazioni!$A$16:$A$23,"&lt;="&amp;A361,Impostazioni!$B$16:$B$23,"&gt;="&amp;A361)&gt;0,1,0)</f>
        <v>0</v>
      </c>
      <c r="F361" s="77" t="n">
        <f aca="false">IF(AND(C361=1,D361=0,E361=0),1,0)</f>
        <v>1</v>
      </c>
      <c r="G361" s="77" t="n">
        <f aca="false">(YEAR(A361)-YEAR(Impostazioni!$B$11))*12+MONTH(A361)-MONTH(Impostazioni!$B$11)</f>
        <v>11</v>
      </c>
      <c r="H361" s="77" t="n">
        <f aca="false">INT((DAY(A361)-1+WEEKDAY(DATE(YEAR(A361),MONTH(A361),1),2)-1)/7)</f>
        <v>3</v>
      </c>
      <c r="I361" s="77" t="str">
        <f aca="false">IF(G361&gt;11,"",INDEX(Calendario!$A$14:$G$193,4+15*G361+2*H361,WEEKDAY(A361,2))&amp;"")</f>
        <v/>
      </c>
      <c r="J361" s="77" t="n">
        <f aca="false">IF(AND(F361=1,I361="A"),1,0)</f>
        <v>0</v>
      </c>
      <c r="K361" s="77" t="n">
        <f aca="false">IF(AND(F361=1,I361="G"),1,0)</f>
        <v>0</v>
      </c>
      <c r="L361" s="77" t="n">
        <f aca="false">IF(AND(F361=1,A361&gt;=Impostazioni!$B$8),1,0)</f>
        <v>1</v>
      </c>
      <c r="M361" s="77" t="n">
        <f aca="false">IF(C361=0,3,IF(OR(D361=1,E361=1),2,IF(WEEKDAY(A361,2)&gt;5,1,0)))</f>
        <v>1</v>
      </c>
      <c r="N361" s="77" t="str">
        <f aca="false">IF(OR(I361="A",I361="G"),MAX(N$1:N360)+1,"")</f>
        <v/>
      </c>
    </row>
    <row r="362" customFormat="false" ht="15" hidden="false" customHeight="false" outlineLevel="0" collapsed="false">
      <c r="A362" s="75" t="n">
        <f aca="false">A361+1</f>
        <v>46656</v>
      </c>
      <c r="B362" s="76" t="n">
        <f aca="false">DATE(YEAR(A362),MONTH(A362),1)</f>
        <v>46631</v>
      </c>
      <c r="C362" s="77" t="n">
        <f aca="false">IF(AND(A362&gt;=Impostazioni!$B$4,A362&lt;=Impostazioni!$B$5),1,0)</f>
        <v>1</v>
      </c>
      <c r="D362" s="77" t="n">
        <f aca="false">IF(COUNTIF(Impostazioni!$A$27:$A$56,A362)&gt;0,1,0)</f>
        <v>0</v>
      </c>
      <c r="E362" s="77" t="n">
        <f aca="false">IF(COUNTIFS(Impostazioni!$A$16:$A$23,"&lt;="&amp;A362,Impostazioni!$B$16:$B$23,"&gt;="&amp;A362)&gt;0,1,0)</f>
        <v>0</v>
      </c>
      <c r="F362" s="77" t="n">
        <f aca="false">IF(AND(C362=1,D362=0,E362=0),1,0)</f>
        <v>1</v>
      </c>
      <c r="G362" s="77" t="n">
        <f aca="false">(YEAR(A362)-YEAR(Impostazioni!$B$11))*12+MONTH(A362)-MONTH(Impostazioni!$B$11)</f>
        <v>11</v>
      </c>
      <c r="H362" s="77" t="n">
        <f aca="false">INT((DAY(A362)-1+WEEKDAY(DATE(YEAR(A362),MONTH(A362),1),2)-1)/7)</f>
        <v>3</v>
      </c>
      <c r="I362" s="77" t="str">
        <f aca="false">IF(G362&gt;11,"",INDEX(Calendario!$A$14:$G$193,4+15*G362+2*H362,WEEKDAY(A362,2))&amp;"")</f>
        <v/>
      </c>
      <c r="J362" s="77" t="n">
        <f aca="false">IF(AND(F362=1,I362="A"),1,0)</f>
        <v>0</v>
      </c>
      <c r="K362" s="77" t="n">
        <f aca="false">IF(AND(F362=1,I362="G"),1,0)</f>
        <v>0</v>
      </c>
      <c r="L362" s="77" t="n">
        <f aca="false">IF(AND(F362=1,A362&gt;=Impostazioni!$B$8),1,0)</f>
        <v>1</v>
      </c>
      <c r="M362" s="77" t="n">
        <f aca="false">IF(C362=0,3,IF(OR(D362=1,E362=1),2,IF(WEEKDAY(A362,2)&gt;5,1,0)))</f>
        <v>1</v>
      </c>
      <c r="N362" s="77" t="str">
        <f aca="false">IF(OR(I362="A",I362="G"),MAX(N$1:N361)+1,"")</f>
        <v/>
      </c>
    </row>
    <row r="363" customFormat="false" ht="15" hidden="false" customHeight="false" outlineLevel="0" collapsed="false">
      <c r="A363" s="75" t="n">
        <f aca="false">A362+1</f>
        <v>46657</v>
      </c>
      <c r="B363" s="76" t="n">
        <f aca="false">DATE(YEAR(A363),MONTH(A363),1)</f>
        <v>46631</v>
      </c>
      <c r="C363" s="77" t="n">
        <f aca="false">IF(AND(A363&gt;=Impostazioni!$B$4,A363&lt;=Impostazioni!$B$5),1,0)</f>
        <v>1</v>
      </c>
      <c r="D363" s="77" t="n">
        <f aca="false">IF(COUNTIF(Impostazioni!$A$27:$A$56,A363)&gt;0,1,0)</f>
        <v>0</v>
      </c>
      <c r="E363" s="77" t="n">
        <f aca="false">IF(COUNTIFS(Impostazioni!$A$16:$A$23,"&lt;="&amp;A363,Impostazioni!$B$16:$B$23,"&gt;="&amp;A363)&gt;0,1,0)</f>
        <v>0</v>
      </c>
      <c r="F363" s="77" t="n">
        <f aca="false">IF(AND(C363=1,D363=0,E363=0),1,0)</f>
        <v>1</v>
      </c>
      <c r="G363" s="77" t="n">
        <f aca="false">(YEAR(A363)-YEAR(Impostazioni!$B$11))*12+MONTH(A363)-MONTH(Impostazioni!$B$11)</f>
        <v>11</v>
      </c>
      <c r="H363" s="77" t="n">
        <f aca="false">INT((DAY(A363)-1+WEEKDAY(DATE(YEAR(A363),MONTH(A363),1),2)-1)/7)</f>
        <v>4</v>
      </c>
      <c r="I363" s="77" t="str">
        <f aca="false">IF(G363&gt;11,"",INDEX(Calendario!$A$14:$G$193,4+15*G363+2*H363,WEEKDAY(A363,2))&amp;"")</f>
        <v/>
      </c>
      <c r="J363" s="77" t="n">
        <f aca="false">IF(AND(F363=1,I363="A"),1,0)</f>
        <v>0</v>
      </c>
      <c r="K363" s="77" t="n">
        <f aca="false">IF(AND(F363=1,I363="G"),1,0)</f>
        <v>0</v>
      </c>
      <c r="L363" s="77" t="n">
        <f aca="false">IF(AND(F363=1,A363&gt;=Impostazioni!$B$8),1,0)</f>
        <v>1</v>
      </c>
      <c r="M363" s="77" t="n">
        <f aca="false">IF(C363=0,3,IF(OR(D363=1,E363=1),2,IF(WEEKDAY(A363,2)&gt;5,1,0)))</f>
        <v>0</v>
      </c>
      <c r="N363" s="77" t="str">
        <f aca="false">IF(OR(I363="A",I363="G"),MAX(N$1:N362)+1,"")</f>
        <v/>
      </c>
    </row>
    <row r="364" customFormat="false" ht="15" hidden="false" customHeight="false" outlineLevel="0" collapsed="false">
      <c r="A364" s="75" t="n">
        <f aca="false">A363+1</f>
        <v>46658</v>
      </c>
      <c r="B364" s="76" t="n">
        <f aca="false">DATE(YEAR(A364),MONTH(A364),1)</f>
        <v>46631</v>
      </c>
      <c r="C364" s="77" t="n">
        <f aca="false">IF(AND(A364&gt;=Impostazioni!$B$4,A364&lt;=Impostazioni!$B$5),1,0)</f>
        <v>1</v>
      </c>
      <c r="D364" s="77" t="n">
        <f aca="false">IF(COUNTIF(Impostazioni!$A$27:$A$56,A364)&gt;0,1,0)</f>
        <v>0</v>
      </c>
      <c r="E364" s="77" t="n">
        <f aca="false">IF(COUNTIFS(Impostazioni!$A$16:$A$23,"&lt;="&amp;A364,Impostazioni!$B$16:$B$23,"&gt;="&amp;A364)&gt;0,1,0)</f>
        <v>0</v>
      </c>
      <c r="F364" s="77" t="n">
        <f aca="false">IF(AND(C364=1,D364=0,E364=0),1,0)</f>
        <v>1</v>
      </c>
      <c r="G364" s="77" t="n">
        <f aca="false">(YEAR(A364)-YEAR(Impostazioni!$B$11))*12+MONTH(A364)-MONTH(Impostazioni!$B$11)</f>
        <v>11</v>
      </c>
      <c r="H364" s="77" t="n">
        <f aca="false">INT((DAY(A364)-1+WEEKDAY(DATE(YEAR(A364),MONTH(A364),1),2)-1)/7)</f>
        <v>4</v>
      </c>
      <c r="I364" s="77" t="str">
        <f aca="false">IF(G364&gt;11,"",INDEX(Calendario!$A$14:$G$193,4+15*G364+2*H364,WEEKDAY(A364,2))&amp;"")</f>
        <v/>
      </c>
      <c r="J364" s="77" t="n">
        <f aca="false">IF(AND(F364=1,I364="A"),1,0)</f>
        <v>0</v>
      </c>
      <c r="K364" s="77" t="n">
        <f aca="false">IF(AND(F364=1,I364="G"),1,0)</f>
        <v>0</v>
      </c>
      <c r="L364" s="77" t="n">
        <f aca="false">IF(AND(F364=1,A364&gt;=Impostazioni!$B$8),1,0)</f>
        <v>1</v>
      </c>
      <c r="M364" s="77" t="n">
        <f aca="false">IF(C364=0,3,IF(OR(D364=1,E364=1),2,IF(WEEKDAY(A364,2)&gt;5,1,0)))</f>
        <v>0</v>
      </c>
      <c r="N364" s="77" t="str">
        <f aca="false">IF(OR(I364="A",I364="G"),MAX(N$1:N363)+1,"")</f>
        <v/>
      </c>
    </row>
    <row r="365" customFormat="false" ht="15" hidden="false" customHeight="false" outlineLevel="0" collapsed="false">
      <c r="A365" s="75" t="n">
        <f aca="false">A364+1</f>
        <v>46659</v>
      </c>
      <c r="B365" s="76" t="n">
        <f aca="false">DATE(YEAR(A365),MONTH(A365),1)</f>
        <v>46631</v>
      </c>
      <c r="C365" s="77" t="n">
        <f aca="false">IF(AND(A365&gt;=Impostazioni!$B$4,A365&lt;=Impostazioni!$B$5),1,0)</f>
        <v>1</v>
      </c>
      <c r="D365" s="77" t="n">
        <f aca="false">IF(COUNTIF(Impostazioni!$A$27:$A$56,A365)&gt;0,1,0)</f>
        <v>0</v>
      </c>
      <c r="E365" s="77" t="n">
        <f aca="false">IF(COUNTIFS(Impostazioni!$A$16:$A$23,"&lt;="&amp;A365,Impostazioni!$B$16:$B$23,"&gt;="&amp;A365)&gt;0,1,0)</f>
        <v>0</v>
      </c>
      <c r="F365" s="77" t="n">
        <f aca="false">IF(AND(C365=1,D365=0,E365=0),1,0)</f>
        <v>1</v>
      </c>
      <c r="G365" s="77" t="n">
        <f aca="false">(YEAR(A365)-YEAR(Impostazioni!$B$11))*12+MONTH(A365)-MONTH(Impostazioni!$B$11)</f>
        <v>11</v>
      </c>
      <c r="H365" s="77" t="n">
        <f aca="false">INT((DAY(A365)-1+WEEKDAY(DATE(YEAR(A365),MONTH(A365),1),2)-1)/7)</f>
        <v>4</v>
      </c>
      <c r="I365" s="77" t="str">
        <f aca="false">IF(G365&gt;11,"",INDEX(Calendario!$A$14:$G$193,4+15*G365+2*H365,WEEKDAY(A365,2))&amp;"")</f>
        <v/>
      </c>
      <c r="J365" s="77" t="n">
        <f aca="false">IF(AND(F365=1,I365="A"),1,0)</f>
        <v>0</v>
      </c>
      <c r="K365" s="77" t="n">
        <f aca="false">IF(AND(F365=1,I365="G"),1,0)</f>
        <v>0</v>
      </c>
      <c r="L365" s="77" t="n">
        <f aca="false">IF(AND(F365=1,A365&gt;=Impostazioni!$B$8),1,0)</f>
        <v>1</v>
      </c>
      <c r="M365" s="77" t="n">
        <f aca="false">IF(C365=0,3,IF(OR(D365=1,E365=1),2,IF(WEEKDAY(A365,2)&gt;5,1,0)))</f>
        <v>0</v>
      </c>
      <c r="N365" s="77" t="str">
        <f aca="false">IF(OR(I365="A",I365="G"),MAX(N$1:N364)+1,"")</f>
        <v/>
      </c>
    </row>
    <row r="366" customFormat="false" ht="15" hidden="false" customHeight="false" outlineLevel="0" collapsed="false">
      <c r="A366" s="75" t="n">
        <f aca="false">A365+1</f>
        <v>46660</v>
      </c>
      <c r="B366" s="76" t="n">
        <f aca="false">DATE(YEAR(A366),MONTH(A366),1)</f>
        <v>46631</v>
      </c>
      <c r="C366" s="77" t="n">
        <f aca="false">IF(AND(A366&gt;=Impostazioni!$B$4,A366&lt;=Impostazioni!$B$5),1,0)</f>
        <v>1</v>
      </c>
      <c r="D366" s="77" t="n">
        <f aca="false">IF(COUNTIF(Impostazioni!$A$27:$A$56,A366)&gt;0,1,0)</f>
        <v>0</v>
      </c>
      <c r="E366" s="77" t="n">
        <f aca="false">IF(COUNTIFS(Impostazioni!$A$16:$A$23,"&lt;="&amp;A366,Impostazioni!$B$16:$B$23,"&gt;="&amp;A366)&gt;0,1,0)</f>
        <v>0</v>
      </c>
      <c r="F366" s="77" t="n">
        <f aca="false">IF(AND(C366=1,D366=0,E366=0),1,0)</f>
        <v>1</v>
      </c>
      <c r="G366" s="77" t="n">
        <f aca="false">(YEAR(A366)-YEAR(Impostazioni!$B$11))*12+MONTH(A366)-MONTH(Impostazioni!$B$11)</f>
        <v>11</v>
      </c>
      <c r="H366" s="77" t="n">
        <f aca="false">INT((DAY(A366)-1+WEEKDAY(DATE(YEAR(A366),MONTH(A366),1),2)-1)/7)</f>
        <v>4</v>
      </c>
      <c r="I366" s="77" t="str">
        <f aca="false">IF(G366&gt;11,"",INDEX(Calendario!$A$14:$G$193,4+15*G366+2*H366,WEEKDAY(A366,2))&amp;"")</f>
        <v/>
      </c>
      <c r="J366" s="77" t="n">
        <f aca="false">IF(AND(F366=1,I366="A"),1,0)</f>
        <v>0</v>
      </c>
      <c r="K366" s="77" t="n">
        <f aca="false">IF(AND(F366=1,I366="G"),1,0)</f>
        <v>0</v>
      </c>
      <c r="L366" s="77" t="n">
        <f aca="false">IF(AND(F366=1,A366&gt;=Impostazioni!$B$8),1,0)</f>
        <v>1</v>
      </c>
      <c r="M366" s="77" t="n">
        <f aca="false">IF(C366=0,3,IF(OR(D366=1,E366=1),2,IF(WEEKDAY(A366,2)&gt;5,1,0)))</f>
        <v>0</v>
      </c>
      <c r="N366" s="77" t="str">
        <f aca="false">IF(OR(I366="A",I366="G"),MAX(N$1:N365)+1,"")</f>
        <v/>
      </c>
    </row>
    <row r="367" customFormat="false" ht="15" hidden="false" customHeight="false" outlineLevel="0" collapsed="false">
      <c r="A367" s="75" t="n">
        <f aca="false">A366+1</f>
        <v>46661</v>
      </c>
      <c r="B367" s="76" t="n">
        <f aca="false">DATE(YEAR(A367),MONTH(A367),1)</f>
        <v>46661</v>
      </c>
      <c r="C367" s="77" t="n">
        <f aca="false">IF(AND(A367&gt;=Impostazioni!$B$4,A367&lt;=Impostazioni!$B$5),1,0)</f>
        <v>0</v>
      </c>
      <c r="D367" s="77" t="n">
        <f aca="false">IF(COUNTIF(Impostazioni!$A$27:$A$56,A367)&gt;0,1,0)</f>
        <v>0</v>
      </c>
      <c r="E367" s="77" t="n">
        <f aca="false">IF(COUNTIFS(Impostazioni!$A$16:$A$23,"&lt;="&amp;A367,Impostazioni!$B$16:$B$23,"&gt;="&amp;A367)&gt;0,1,0)</f>
        <v>0</v>
      </c>
      <c r="F367" s="77" t="n">
        <f aca="false">IF(AND(C367=1,D367=0,E367=0),1,0)</f>
        <v>0</v>
      </c>
      <c r="G367" s="77" t="n">
        <f aca="false">(YEAR(A367)-YEAR(Impostazioni!$B$11))*12+MONTH(A367)-MONTH(Impostazioni!$B$11)</f>
        <v>12</v>
      </c>
      <c r="H367" s="77" t="n">
        <f aca="false">INT((DAY(A367)-1+WEEKDAY(DATE(YEAR(A367),MONTH(A367),1),2)-1)/7)</f>
        <v>0</v>
      </c>
      <c r="I367" s="77" t="str">
        <f aca="false">IF(G367&gt;11,"",INDEX(Calendario!$A$14:$G$193,4+15*G367+2*H367,WEEKDAY(A367,2))&amp;"")</f>
        <v/>
      </c>
      <c r="J367" s="77" t="n">
        <f aca="false">IF(AND(F367=1,I367="A"),1,0)</f>
        <v>0</v>
      </c>
      <c r="K367" s="77" t="n">
        <f aca="false">IF(AND(F367=1,I367="G"),1,0)</f>
        <v>0</v>
      </c>
      <c r="L367" s="77" t="n">
        <f aca="false">IF(AND(F367=1,A367&gt;=Impostazioni!$B$8),1,0)</f>
        <v>0</v>
      </c>
      <c r="M367" s="77" t="n">
        <f aca="false">IF(C367=0,3,IF(OR(D367=1,E367=1),2,IF(WEEKDAY(A367,2)&gt;5,1,0)))</f>
        <v>3</v>
      </c>
      <c r="N367" s="77" t="str">
        <f aca="false">IF(OR(I367="A",I367="G"),MAX(N$1:N366)+1,"")</f>
        <v/>
      </c>
    </row>
  </sheetData>
  <sheetProtection sheet="true" formatColumns="false" formatRow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2026-10-03T09:53:01Z</dcterms:created>
  <dc:creator>openpyxl</dc:creator>
  <dc:description/>
  <dc:language>en-US</dc:language>
  <cp:lastModifiedBy/>
  <dcterms:modified xsi:type="dcterms:W3CDTF">2026-10-03T09:53:04Z</dcterms:modified>
  <cp:revision>1</cp:revision>
  <dc:subject/>
  <dc:title>Assenze Collegio 2026-27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